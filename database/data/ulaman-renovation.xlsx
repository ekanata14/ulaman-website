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dreamerdream/Downloads/"/>
    </mc:Choice>
  </mc:AlternateContent>
  <xr:revisionPtr revIDLastSave="0" documentId="13_ncr:1_{2A45B6C3-3308-7547-AD59-BB6AC91E9760}" xr6:coauthVersionLast="47" xr6:coauthVersionMax="47" xr10:uidLastSave="{00000000-0000-0000-0000-000000000000}"/>
  <bookViews>
    <workbookView xWindow="0" yWindow="780" windowWidth="34200" windowHeight="21460" activeTab="7" xr2:uid="{00000000-000D-0000-FFFF-FFFF00000000}"/>
  </bookViews>
  <sheets>
    <sheet name="Januari 2026" sheetId="5" r:id="rId1"/>
    <sheet name="Februari 2026" sheetId="6" r:id="rId2"/>
    <sheet name="Maret 2026" sheetId="7" r:id="rId3"/>
    <sheet name="April 2026" sheetId="8" r:id="rId4"/>
    <sheet name="May 2026" sheetId="9" r:id="rId5"/>
    <sheet name="June 2026" sheetId="10" r:id="rId6"/>
    <sheet name="July 2026" sheetId="11" r:id="rId7"/>
    <sheet name="August 2026" sheetId="1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7" i="12" l="1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8" i="12"/>
  <c r="G7" i="12"/>
  <c r="G6" i="12"/>
  <c r="G5" i="12"/>
  <c r="G179" i="12" s="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172" i="11" s="1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119" i="10" s="1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2" i="9"/>
  <c r="G11" i="9"/>
  <c r="G10" i="9"/>
  <c r="G9" i="9"/>
  <c r="G8" i="9"/>
  <c r="G7" i="9"/>
  <c r="G6" i="9"/>
  <c r="G5" i="9"/>
  <c r="G106" i="9" s="1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8" i="8"/>
  <c r="G97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146" i="8" s="1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99" i="7" s="1"/>
  <c r="G7" i="7"/>
  <c r="G6" i="7"/>
  <c r="G5" i="7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86" i="6" s="1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64" i="5" s="1"/>
</calcChain>
</file>

<file path=xl/sharedStrings.xml><?xml version="1.0" encoding="utf-8"?>
<sst xmlns="http://schemas.openxmlformats.org/spreadsheetml/2006/main" count="855" uniqueCount="378">
  <si>
    <t>Date</t>
  </si>
  <si>
    <t>Supplier</t>
  </si>
  <si>
    <t>Description</t>
  </si>
  <si>
    <t>Quantity</t>
  </si>
  <si>
    <t>Item Price</t>
  </si>
  <si>
    <t>Total Amount</t>
  </si>
  <si>
    <t>Remark</t>
  </si>
  <si>
    <t xml:space="preserve"> </t>
  </si>
  <si>
    <t>Murda Jaya</t>
  </si>
  <si>
    <t>Besi 10 Polos</t>
  </si>
  <si>
    <t>Paku 7</t>
  </si>
  <si>
    <t>Bendrat</t>
  </si>
  <si>
    <t>Paku</t>
  </si>
  <si>
    <t>Bambu</t>
  </si>
  <si>
    <t>Alam Santara</t>
  </si>
  <si>
    <t>Pasir Pasang</t>
  </si>
  <si>
    <t>Gresik</t>
  </si>
  <si>
    <t>Pasir Cor</t>
  </si>
  <si>
    <t>Ongkir</t>
  </si>
  <si>
    <t>Aneka Marmer</t>
  </si>
  <si>
    <t>Varf Biru</t>
  </si>
  <si>
    <t>Triplek 8mm</t>
  </si>
  <si>
    <t>Murda jaya</t>
  </si>
  <si>
    <t>Varf Kuning</t>
  </si>
  <si>
    <t>Usuk Lokal</t>
  </si>
  <si>
    <t>Paku 5</t>
  </si>
  <si>
    <t>Wisnu Pickup Transport</t>
  </si>
  <si>
    <t>Tali Tampar</t>
  </si>
  <si>
    <t>Mata Grinda</t>
  </si>
  <si>
    <t>Varf Coklat</t>
  </si>
  <si>
    <t>Paku 5cm</t>
  </si>
  <si>
    <t>Transport</t>
  </si>
  <si>
    <t>CV. Harco Bali Lampu</t>
  </si>
  <si>
    <t>Gojek</t>
  </si>
  <si>
    <t>Gosend</t>
  </si>
  <si>
    <t>Kawat</t>
  </si>
  <si>
    <t>Varf Hitam</t>
  </si>
  <si>
    <t>Varf Merah</t>
  </si>
  <si>
    <t>Batako</t>
  </si>
  <si>
    <t>Ana Natural</t>
  </si>
  <si>
    <t>Besi 10</t>
  </si>
  <si>
    <t>Triplek 6mm</t>
  </si>
  <si>
    <t>TOTAL</t>
  </si>
  <si>
    <t>Koral 1x2</t>
  </si>
  <si>
    <t>Anjun Natural Stone</t>
  </si>
  <si>
    <t>Pertamina</t>
  </si>
  <si>
    <t>Lokal 2</t>
  </si>
  <si>
    <t>Gendon Garden</t>
  </si>
  <si>
    <t>Besi 13 Ulir</t>
  </si>
  <si>
    <t>Soka</t>
  </si>
  <si>
    <t>Besi 13 SNI</t>
  </si>
  <si>
    <t>Selang Terpar</t>
  </si>
  <si>
    <t>Ngelangsir Pasir Malang</t>
  </si>
  <si>
    <t>PAT Warna</t>
  </si>
  <si>
    <t>Kurungan Sintetis</t>
  </si>
  <si>
    <t>Asri Elektronik</t>
  </si>
  <si>
    <t>Receiver Dc Preston</t>
  </si>
  <si>
    <t>PLN</t>
  </si>
  <si>
    <t>Electricity</t>
  </si>
  <si>
    <t>Nat Hitam</t>
  </si>
  <si>
    <t>Tirta Brother</t>
  </si>
  <si>
    <t>Truk Air Bersih 7200 Liter</t>
  </si>
  <si>
    <t>Lem Fox</t>
  </si>
  <si>
    <t>Cindra Aquarium</t>
  </si>
  <si>
    <t>Clay Clear Plus 250gr</t>
  </si>
  <si>
    <t>Clay Koi</t>
  </si>
  <si>
    <t>Aquaproof</t>
  </si>
  <si>
    <t>Besi 6 SNI</t>
  </si>
  <si>
    <t>Gum</t>
  </si>
  <si>
    <t>Reribond</t>
  </si>
  <si>
    <t>Pompa Hs3 max</t>
  </si>
  <si>
    <t>Batu Pondasi</t>
  </si>
  <si>
    <t>UD. Karya Indah</t>
  </si>
  <si>
    <t>Tempat Lampu Taman Besar</t>
  </si>
  <si>
    <t>Palm Sadeng</t>
  </si>
  <si>
    <t>Selang Perpar</t>
  </si>
  <si>
    <t>Benang</t>
  </si>
  <si>
    <t>Spidol</t>
  </si>
  <si>
    <t>Ongkos Pindah Tanaman</t>
  </si>
  <si>
    <t>Harco Bali Lampu</t>
  </si>
  <si>
    <t>LED Wandi 3Gw Bu ww</t>
  </si>
  <si>
    <t>DL 12w Kaca</t>
  </si>
  <si>
    <t>Hanim Hair &amp; Beauty</t>
  </si>
  <si>
    <t>Haircut</t>
  </si>
  <si>
    <t>Higlight</t>
  </si>
  <si>
    <t>Pepito Market Dalung</t>
  </si>
  <si>
    <t>Vinegar</t>
  </si>
  <si>
    <t>Toko Cat Warna Abadi</t>
  </si>
  <si>
    <t>CT Paladin Silver 20L V1854</t>
  </si>
  <si>
    <t>Kawat Sidi</t>
  </si>
  <si>
    <t>Kuas 3</t>
  </si>
  <si>
    <t>Arta Sari</t>
  </si>
  <si>
    <t>11m Plentek Pook</t>
  </si>
  <si>
    <t>Kawat Bwg</t>
  </si>
  <si>
    <t>Harco Bali lampu</t>
  </si>
  <si>
    <t>Fan Veronica</t>
  </si>
  <si>
    <t xml:space="preserve">Batu </t>
  </si>
  <si>
    <t>Jaya Kaca</t>
  </si>
  <si>
    <t>Semen Gresik</t>
  </si>
  <si>
    <t>Cermin 5 200 x 250</t>
  </si>
  <si>
    <t>Kuas 3 skr</t>
  </si>
  <si>
    <t>UD. Hibah</t>
  </si>
  <si>
    <t>Kampil 25Kg Biasa</t>
  </si>
  <si>
    <t>Fisher S6</t>
  </si>
  <si>
    <t>Skrop Stayer</t>
  </si>
  <si>
    <t>Triplek 6 mm</t>
  </si>
  <si>
    <t>Petrol</t>
  </si>
  <si>
    <t>Kuas 3 Star</t>
  </si>
  <si>
    <t>Skrup 3cm</t>
  </si>
  <si>
    <t>Mitra10</t>
  </si>
  <si>
    <t>Infiniti 60x60 Sandstone Dark Grey</t>
  </si>
  <si>
    <t>Sewa Truk + Driver</t>
  </si>
  <si>
    <t>Pengantaran Meja dari Devito ke Ulaman</t>
  </si>
  <si>
    <t>Bougafil Merah</t>
  </si>
  <si>
    <t>Kasutan</t>
  </si>
  <si>
    <t>Pertamina Dex</t>
  </si>
  <si>
    <t>Dak Falo (Dakron)</t>
  </si>
  <si>
    <t>Kuas 4 Tika</t>
  </si>
  <si>
    <t>Suka Besar</t>
  </si>
  <si>
    <t>Harco</t>
  </si>
  <si>
    <t>Spotlight Holilux</t>
  </si>
  <si>
    <t>Kuas 3 Tika</t>
  </si>
  <si>
    <t>Buis L80</t>
  </si>
  <si>
    <t>Mr H770 Dimer</t>
  </si>
  <si>
    <t>Gergaji</t>
  </si>
  <si>
    <t>Meteran 7,5</t>
  </si>
  <si>
    <t>Cempaka Sari</t>
  </si>
  <si>
    <t>Candi Baru</t>
  </si>
  <si>
    <t>Bearing</t>
  </si>
  <si>
    <t>Pilar 20</t>
  </si>
  <si>
    <t>Tembok Lengkap</t>
  </si>
  <si>
    <t>Cm Cl (Tulisan Kurang Jelas)</t>
  </si>
  <si>
    <t>Sikatop</t>
  </si>
  <si>
    <t>Tutup Buis</t>
  </si>
  <si>
    <t>Ratni Goa Lawah</t>
  </si>
  <si>
    <t>Saraswati</t>
  </si>
  <si>
    <t>Cm Hv (Tulisan Kurang Jelas)</t>
  </si>
  <si>
    <t>Mu 400</t>
  </si>
  <si>
    <t>Mhp Cm (Tulisan Kurang Jelas)</t>
  </si>
  <si>
    <t>Soka Besar</t>
  </si>
  <si>
    <t>Janger Head</t>
  </si>
  <si>
    <t>Muda Jaya</t>
  </si>
  <si>
    <t>Janger Head Big</t>
  </si>
  <si>
    <t>Scm Ged (Tulisan Kurang Jelas)</t>
  </si>
  <si>
    <t>Cetok</t>
  </si>
  <si>
    <t>Depo Bangunan</t>
  </si>
  <si>
    <t>Water Proofing</t>
  </si>
  <si>
    <t>Pengantaran Kursi dari Batubulan ke Mengwitani</t>
  </si>
  <si>
    <t>Neri 6</t>
  </si>
  <si>
    <t>-</t>
  </si>
  <si>
    <t xml:space="preserve">Besi 8 </t>
  </si>
  <si>
    <t>Mythaline Blue</t>
  </si>
  <si>
    <t>Red Bluedox 1000ml</t>
  </si>
  <si>
    <t>Barang Kurfi 1 Set</t>
  </si>
  <si>
    <t>Bugenfil Putih</t>
  </si>
  <si>
    <t>Bugenfil Merah</t>
  </si>
  <si>
    <t>Atap Bestari</t>
  </si>
  <si>
    <t>Maxxi Dark Brown</t>
  </si>
  <si>
    <t>Palu</t>
  </si>
  <si>
    <t>Kuas 5 Skr</t>
  </si>
  <si>
    <t>Triplek 8 mm</t>
  </si>
  <si>
    <t>Paku 10</t>
  </si>
  <si>
    <t>Kuas 3 Skr</t>
  </si>
  <si>
    <t>Palm Merah</t>
  </si>
  <si>
    <t>Ember</t>
  </si>
  <si>
    <t>Warung Bu Wiwin</t>
  </si>
  <si>
    <t>Bakar</t>
  </si>
  <si>
    <t>Jaya Stone</t>
  </si>
  <si>
    <t>Batu Apung</t>
  </si>
  <si>
    <t>Feribond</t>
  </si>
  <si>
    <t>Bir</t>
  </si>
  <si>
    <t>Sunsun jtp 16.000</t>
  </si>
  <si>
    <t>Nasi</t>
  </si>
  <si>
    <t>Kikir Bahro</t>
  </si>
  <si>
    <t>Plecing</t>
  </si>
  <si>
    <t>Langsir Pasir</t>
  </si>
  <si>
    <t>Terpal 4x5</t>
  </si>
  <si>
    <t>Ikan Kakap</t>
  </si>
  <si>
    <t>Terpal 5x7</t>
  </si>
  <si>
    <t>Meteran 10m</t>
  </si>
  <si>
    <t>Cleaning Skylight Lotus</t>
  </si>
  <si>
    <t>Tite Hitam Water Proofing</t>
  </si>
  <si>
    <t>Gergaji Starus</t>
  </si>
  <si>
    <t>Tip Driver</t>
  </si>
  <si>
    <t>Besi 8 (7,0)</t>
  </si>
  <si>
    <t>Ongkos Batu Lahar</t>
  </si>
  <si>
    <t>Kap Sorot 30w/k</t>
  </si>
  <si>
    <t>Veronica Bk 64inch</t>
  </si>
  <si>
    <t>Paku 3</t>
  </si>
  <si>
    <t>Pensil</t>
  </si>
  <si>
    <t xml:space="preserve">Beri 10 Polos </t>
  </si>
  <si>
    <t xml:space="preserve">Beri 13 ulir </t>
  </si>
  <si>
    <t xml:space="preserve">Kawat </t>
  </si>
  <si>
    <t>Besi 10 Ulir</t>
  </si>
  <si>
    <t>Eium</t>
  </si>
  <si>
    <t>Sari Arta</t>
  </si>
  <si>
    <t>4x6x410</t>
  </si>
  <si>
    <t>Usuk Lokal 1 m</t>
  </si>
  <si>
    <t>Paku beton 7</t>
  </si>
  <si>
    <t>Sri Merta Yasa</t>
  </si>
  <si>
    <t>Tenug Sanbrela</t>
  </si>
  <si>
    <t xml:space="preserve">Murda Jaya </t>
  </si>
  <si>
    <t xml:space="preserve">3 m Amplas </t>
  </si>
  <si>
    <t>30 Gresik</t>
  </si>
  <si>
    <t>Calsium</t>
  </si>
  <si>
    <t>Beri 10 SNI</t>
  </si>
  <si>
    <t xml:space="preserve">Kikir </t>
  </si>
  <si>
    <t>Wipro</t>
  </si>
  <si>
    <t>Varf Cost</t>
  </si>
  <si>
    <t>Cold Bosch</t>
  </si>
  <si>
    <t>Cold Makita</t>
  </si>
  <si>
    <t>Hiipro</t>
  </si>
  <si>
    <t>Terpal 8x6</t>
  </si>
  <si>
    <t>Terpal 3x3</t>
  </si>
  <si>
    <t>Clam F</t>
  </si>
  <si>
    <t>Brass Push Pop Up Head</t>
  </si>
  <si>
    <t>Cloth Tape Black</t>
  </si>
  <si>
    <t>High Performance White Lithium</t>
  </si>
  <si>
    <t>Dapur Prima</t>
  </si>
  <si>
    <t>Reno Measuring Spoon</t>
  </si>
  <si>
    <t>Wisnu Transport</t>
  </si>
  <si>
    <t>Sewa Pick Up + Driver</t>
  </si>
  <si>
    <t>Terpal 6x8 A5</t>
  </si>
  <si>
    <t>Nasi Campur</t>
  </si>
  <si>
    <t>Usuk Lokal Super</t>
  </si>
  <si>
    <t>Anggi Shop</t>
  </si>
  <si>
    <t>Sheel Bowl</t>
  </si>
  <si>
    <t>Bowl</t>
  </si>
  <si>
    <t>Jepitan L</t>
  </si>
  <si>
    <t>Plate 30cm</t>
  </si>
  <si>
    <t>Jepitan M</t>
  </si>
  <si>
    <t>Duta Bali Glass</t>
  </si>
  <si>
    <t>Monte</t>
  </si>
  <si>
    <t>Indomaret</t>
  </si>
  <si>
    <t>Fshrman's</t>
  </si>
  <si>
    <t>Supramas</t>
  </si>
  <si>
    <t>Fish Extra Strg</t>
  </si>
  <si>
    <t>Arco</t>
  </si>
  <si>
    <t>Baut Luar</t>
  </si>
  <si>
    <t>Baut Dalam</t>
  </si>
  <si>
    <t>Laher</t>
  </si>
  <si>
    <t>Besi 6</t>
  </si>
  <si>
    <t>Pak Leny</t>
  </si>
  <si>
    <t>Bensin + Oli</t>
  </si>
  <si>
    <t>Koral 1/2</t>
  </si>
  <si>
    <t>Tali</t>
  </si>
  <si>
    <t>Linggis B</t>
  </si>
  <si>
    <t>Batukaru</t>
  </si>
  <si>
    <t>Batu Karu Entrance gate</t>
  </si>
  <si>
    <t>Gong Jatiluwih  Buffet</t>
  </si>
  <si>
    <t xml:space="preserve">Gong Jatiluwih Coconut </t>
  </si>
  <si>
    <t>Beras merah dan hitam Jatiluwih</t>
  </si>
  <si>
    <t>Konnir</t>
  </si>
  <si>
    <t>Paku Beton</t>
  </si>
  <si>
    <t>Isolasi 2</t>
  </si>
  <si>
    <t>Fat</t>
  </si>
  <si>
    <t>Karamora</t>
  </si>
  <si>
    <t>Isolasi</t>
  </si>
  <si>
    <t>Kacamata</t>
  </si>
  <si>
    <t>UD. Sederhana</t>
  </si>
  <si>
    <t>4x6x300</t>
  </si>
  <si>
    <t>Masker</t>
  </si>
  <si>
    <t>4x6x400</t>
  </si>
  <si>
    <t>Dewata Bali safety</t>
  </si>
  <si>
    <t>RompiJarrus Orange</t>
  </si>
  <si>
    <t>Koi Kohaku Doitshu 25-30cm</t>
  </si>
  <si>
    <t>Sepatu Pendek prco</t>
  </si>
  <si>
    <t>Helm T5 Putih</t>
  </si>
  <si>
    <t>Arit</t>
  </si>
  <si>
    <t>Sikat</t>
  </si>
  <si>
    <t>Kabel 2x2,5</t>
  </si>
  <si>
    <t>Stop Kontak</t>
  </si>
  <si>
    <t>Steaker</t>
  </si>
  <si>
    <t>Meteran</t>
  </si>
  <si>
    <t>Underlayment Self Adhesive 1mm</t>
  </si>
  <si>
    <t>Mbor 12mm</t>
  </si>
  <si>
    <t>Mbor 10mm</t>
  </si>
  <si>
    <t>Sumber Jaya Makmur</t>
  </si>
  <si>
    <t>Gardex S.Glass Gln Base C</t>
  </si>
  <si>
    <t>Gembok</t>
  </si>
  <si>
    <t>Dukuh Team</t>
  </si>
  <si>
    <t>Grendel</t>
  </si>
  <si>
    <t>Sampah</t>
  </si>
  <si>
    <t>Ultraproof 20kg Transparant</t>
  </si>
  <si>
    <t>Fitting WP</t>
  </si>
  <si>
    <t>Gat</t>
  </si>
  <si>
    <t>LED 30w/p fatro</t>
  </si>
  <si>
    <t>Pegatis</t>
  </si>
  <si>
    <t>Bitumi</t>
  </si>
  <si>
    <t>Bitumen 1.5mm</t>
  </si>
  <si>
    <t>toko pot kaba kaba</t>
  </si>
  <si>
    <t>Kaki Kotak stand pot</t>
  </si>
  <si>
    <t>Paku beton</t>
  </si>
  <si>
    <t>Ongkir Via Gojek</t>
  </si>
  <si>
    <t>pot model Kipas K</t>
  </si>
  <si>
    <t>Terpal 2x3</t>
  </si>
  <si>
    <t>Tali Plastik</t>
  </si>
  <si>
    <t>pot model Mangkok</t>
  </si>
  <si>
    <t>Coating Rammed Earth</t>
  </si>
  <si>
    <t xml:space="preserve">Paku Beton </t>
  </si>
  <si>
    <t>Nurya Jaya</t>
  </si>
  <si>
    <t>Sekop</t>
  </si>
  <si>
    <t>Murday Jaya</t>
  </si>
  <si>
    <t>Paku 7 Super</t>
  </si>
  <si>
    <t>Sarung Tangan</t>
  </si>
  <si>
    <t>MU 420</t>
  </si>
  <si>
    <t>Battle</t>
  </si>
  <si>
    <t>Garuk Gigi 4 Pir Sekop</t>
  </si>
  <si>
    <t>Paku Beton 5</t>
  </si>
  <si>
    <t>Palu Amerika</t>
  </si>
  <si>
    <t>Dewata Bali Safety</t>
  </si>
  <si>
    <t>Rompi Custom K3</t>
  </si>
  <si>
    <t>Laher Roda</t>
  </si>
  <si>
    <t>Kalsiboard</t>
  </si>
  <si>
    <t>Pillow Case 60x60</t>
  </si>
  <si>
    <t>Pillow Case 50x50</t>
  </si>
  <si>
    <t>Putra Jati</t>
  </si>
  <si>
    <t>Ganti Kain + Variasi + Menur Paksi</t>
  </si>
  <si>
    <t>Apotek Jyothi Farma</t>
  </si>
  <si>
    <t>Tetanus</t>
  </si>
  <si>
    <t>Gong Jatiluwih</t>
  </si>
  <si>
    <t>Entrance fee</t>
  </si>
  <si>
    <t>Puskesmas Kediri II</t>
  </si>
  <si>
    <t>Rawat jalan Umum</t>
  </si>
  <si>
    <t xml:space="preserve">Tindakan Medik Sederhana </t>
  </si>
  <si>
    <t>Pengambilan warna dari Aneka Marmer</t>
  </si>
  <si>
    <t>Tetagan</t>
  </si>
  <si>
    <t>Tindakan Medik Sederhana 2</t>
  </si>
  <si>
    <t>Solasi Kertas</t>
  </si>
  <si>
    <t xml:space="preserve">Ongkir </t>
  </si>
  <si>
    <t>Batu</t>
  </si>
  <si>
    <t>Terpal</t>
  </si>
  <si>
    <t>Meteran Onda</t>
  </si>
  <si>
    <t>Tuak</t>
  </si>
  <si>
    <t>UD. Andika Jaya</t>
  </si>
  <si>
    <t>Munte</t>
  </si>
  <si>
    <t>Blanket Print</t>
  </si>
  <si>
    <t>Watu Intan</t>
  </si>
  <si>
    <t>Batu Andesit Bakar</t>
  </si>
  <si>
    <t>Paku Beton 7</t>
  </si>
  <si>
    <t>Bali Indah Plywood</t>
  </si>
  <si>
    <t>PVC Polos 9mm White</t>
  </si>
  <si>
    <t>Ompreng</t>
  </si>
  <si>
    <t>PT. Urban Plastik Indonesia</t>
  </si>
  <si>
    <t>Geomembrane 200 Mircron (4x100m)</t>
  </si>
  <si>
    <t>UD. Harta Ayu</t>
  </si>
  <si>
    <t>Padma 35 Batar Maju</t>
  </si>
  <si>
    <t>Biaya Kirim</t>
  </si>
  <si>
    <t>Isi Cutter</t>
  </si>
  <si>
    <t>Tugu 35 Batar Maju</t>
  </si>
  <si>
    <t>Double Tape</t>
  </si>
  <si>
    <t>Padma 30 Tanpa Gempu</t>
  </si>
  <si>
    <t xml:space="preserve">Ember </t>
  </si>
  <si>
    <t>Sabit</t>
  </si>
  <si>
    <t>De Vi To</t>
  </si>
  <si>
    <t>Meja Makan Bulat (100x80cm)</t>
  </si>
  <si>
    <t>Meja Makan Oval (100x90x80cm)</t>
  </si>
  <si>
    <t>Gana Medika</t>
  </si>
  <si>
    <t>Tindakan Keperawatan</t>
  </si>
  <si>
    <t>Pemeriksaan Dokter Umum</t>
  </si>
  <si>
    <t>Meja Kopi Natural 2 Tingkat</t>
  </si>
  <si>
    <t>Administration</t>
  </si>
  <si>
    <t>Explore Luka</t>
  </si>
  <si>
    <t>Parsifen 400mg</t>
  </si>
  <si>
    <t>Ciprofloxacin 500mg</t>
  </si>
  <si>
    <t>Kampil</t>
  </si>
  <si>
    <t>Tali Rapia</t>
  </si>
  <si>
    <t>UD. Indra Dharma</t>
  </si>
  <si>
    <t>Buang Sampah</t>
  </si>
  <si>
    <t>3x4</t>
  </si>
  <si>
    <t>Kikir</t>
  </si>
  <si>
    <t>Home Basket 2</t>
  </si>
  <si>
    <t>Karpet Sintetic Gold 100x50cm</t>
  </si>
  <si>
    <t>Karpet Sintetic Gold 90x50cm</t>
  </si>
  <si>
    <t>Karpet Sintetic Gold 80x50cm</t>
  </si>
  <si>
    <t>Karpet Sintetic Gold 140x60cm</t>
  </si>
  <si>
    <t>Karpet Sintetic Gold 200x60cm</t>
  </si>
  <si>
    <t>Karpet Sintetic Gold 150x60cm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</si>
</sst>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m&quot;-&quot;d"/>
    <numFmt numFmtId="166" formatCode="[$Rp]#,##0"/>
    <numFmt numFmtId="167" formatCode="[$Rp]#,##0.0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/>
    </xf>
    <xf numFmtId="0" fontId="1" fillId="0" borderId="2" xfId="0" applyFont="1" applyBorder="1"/>
    <xf numFmtId="0" fontId="1" fillId="0" borderId="0" xfId="0" applyFont="1"/>
    <xf numFmtId="0" fontId="1" fillId="0" borderId="2" xfId="0" applyFont="1" applyBorder="1" applyAlignment="1">
      <alignment horizontal="center"/>
    </xf>
    <xf numFmtId="166" fontId="1" fillId="0" borderId="2" xfId="0" applyNumberFormat="1" applyFont="1" applyBorder="1"/>
    <xf numFmtId="167" fontId="1" fillId="0" borderId="2" xfId="0" applyNumberFormat="1" applyFont="1" applyBorder="1"/>
    <xf numFmtId="167" fontId="1" fillId="0" borderId="3" xfId="0" applyNumberFormat="1" applyFont="1" applyBorder="1"/>
    <xf numFmtId="165" fontId="1" fillId="0" borderId="3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166" fontId="1" fillId="0" borderId="3" xfId="0" applyNumberFormat="1" applyFont="1" applyBorder="1"/>
    <xf numFmtId="165" fontId="1" fillId="0" borderId="4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166" fontId="1" fillId="0" borderId="4" xfId="0" applyNumberFormat="1" applyFont="1" applyBorder="1"/>
    <xf numFmtId="167" fontId="1" fillId="0" borderId="4" xfId="0" applyNumberFormat="1" applyFont="1" applyBorder="1"/>
    <xf numFmtId="167" fontId="4" fillId="0" borderId="3" xfId="0" applyNumberFormat="1" applyFont="1" applyBorder="1" applyAlignment="1">
      <alignment horizontal="right"/>
    </xf>
    <xf numFmtId="0" fontId="4" fillId="0" borderId="0" xfId="0" applyFont="1"/>
    <xf numFmtId="165" fontId="4" fillId="0" borderId="3" xfId="0" applyNumberFormat="1" applyFont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166" fontId="4" fillId="0" borderId="3" xfId="0" applyNumberFormat="1" applyFont="1" applyBorder="1" applyAlignment="1">
      <alignment horizontal="right"/>
    </xf>
    <xf numFmtId="166" fontId="1" fillId="0" borderId="3" xfId="0" applyNumberFormat="1" applyFont="1" applyBorder="1" applyAlignment="1">
      <alignment horizontal="right"/>
    </xf>
    <xf numFmtId="165" fontId="4" fillId="0" borderId="3" xfId="0" applyNumberFormat="1" applyFont="1" applyBorder="1"/>
    <xf numFmtId="0" fontId="2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167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64"/>
  <sheetViews>
    <sheetView workbookViewId="0">
      <selection activeCell="G11" sqref="G11"/>
    </sheetView>
  </sheetViews>
  <sheetFormatPr baseColWidth="10" defaultColWidth="12.6640625" defaultRowHeight="15.75" customHeight="1" x14ac:dyDescent="0.15"/>
  <cols>
    <col min="3" max="3" width="25.6640625" customWidth="1"/>
    <col min="4" max="4" width="38.33203125" customWidth="1"/>
    <col min="6" max="6" width="25.5" customWidth="1"/>
    <col min="7" max="7" width="25.33203125" customWidth="1"/>
    <col min="8" max="8" width="35.6640625" customWidth="1"/>
  </cols>
  <sheetData>
    <row r="1" spans="1:8" ht="13" x14ac:dyDescent="0.15">
      <c r="A1" s="4" t="s">
        <v>7</v>
      </c>
    </row>
    <row r="3" spans="1:8" ht="42.75" customHeight="1" x14ac:dyDescent="0.1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 ht="13" x14ac:dyDescent="0.15">
      <c r="B4" s="2"/>
      <c r="C4" s="3"/>
      <c r="D4" s="3"/>
      <c r="E4" s="5"/>
      <c r="F4" s="6"/>
      <c r="G4" s="7"/>
      <c r="H4" s="3"/>
    </row>
    <row r="5" spans="1:8" ht="13" x14ac:dyDescent="0.15">
      <c r="B5" s="2">
        <v>46027</v>
      </c>
      <c r="C5" s="3" t="s">
        <v>8</v>
      </c>
      <c r="D5" s="3" t="s">
        <v>50</v>
      </c>
      <c r="E5" s="5">
        <v>3</v>
      </c>
      <c r="F5" s="6">
        <v>120000</v>
      </c>
      <c r="G5" s="8">
        <f t="shared" ref="G5:G62" si="0">E5*F5</f>
        <v>360000</v>
      </c>
      <c r="H5" s="3"/>
    </row>
    <row r="6" spans="1:8" ht="13" x14ac:dyDescent="0.15">
      <c r="B6" s="2"/>
      <c r="C6" s="3"/>
      <c r="D6" s="3" t="s">
        <v>11</v>
      </c>
      <c r="E6" s="5">
        <v>1</v>
      </c>
      <c r="F6" s="6">
        <v>10000</v>
      </c>
      <c r="G6" s="8">
        <f t="shared" si="0"/>
        <v>10000</v>
      </c>
      <c r="H6" s="3"/>
    </row>
    <row r="7" spans="1:8" ht="13" x14ac:dyDescent="0.15">
      <c r="B7" s="2"/>
      <c r="C7" s="3"/>
      <c r="D7" s="3" t="s">
        <v>51</v>
      </c>
      <c r="E7" s="5">
        <v>15</v>
      </c>
      <c r="F7" s="6">
        <v>4000</v>
      </c>
      <c r="G7" s="8">
        <f t="shared" si="0"/>
        <v>60000</v>
      </c>
      <c r="H7" s="3"/>
    </row>
    <row r="8" spans="1:8" ht="13" x14ac:dyDescent="0.15">
      <c r="B8" s="2">
        <v>46029</v>
      </c>
      <c r="C8" s="3" t="s">
        <v>8</v>
      </c>
      <c r="D8" s="3" t="s">
        <v>38</v>
      </c>
      <c r="E8" s="5">
        <v>2200</v>
      </c>
      <c r="F8" s="6">
        <v>3000</v>
      </c>
      <c r="G8" s="8">
        <f t="shared" si="0"/>
        <v>6600000</v>
      </c>
      <c r="H8" s="3"/>
    </row>
    <row r="9" spans="1:8" ht="13" x14ac:dyDescent="0.15">
      <c r="B9" s="2"/>
      <c r="C9" s="3"/>
      <c r="D9" s="3"/>
      <c r="E9" s="5"/>
      <c r="F9" s="6"/>
      <c r="G9" s="8">
        <f t="shared" si="0"/>
        <v>0</v>
      </c>
      <c r="H9" s="3"/>
    </row>
    <row r="10" spans="1:8" ht="13" x14ac:dyDescent="0.15">
      <c r="B10" s="2"/>
      <c r="C10" s="3"/>
      <c r="D10" s="3"/>
      <c r="E10" s="5"/>
      <c r="F10" s="6"/>
      <c r="G10" s="8">
        <f t="shared" si="0"/>
        <v>0</v>
      </c>
      <c r="H10" s="3"/>
    </row>
    <row r="11" spans="1:8" ht="13" x14ac:dyDescent="0.15">
      <c r="B11" s="2"/>
      <c r="C11" s="3"/>
      <c r="D11" s="3"/>
      <c r="E11" s="5"/>
      <c r="F11" s="6"/>
      <c r="G11" s="8">
        <f t="shared" si="0"/>
        <v>0</v>
      </c>
      <c r="H11" s="3"/>
    </row>
    <row r="12" spans="1:8" ht="13" x14ac:dyDescent="0.15">
      <c r="B12" s="9"/>
      <c r="C12" s="10"/>
      <c r="D12" s="10"/>
      <c r="E12" s="11"/>
      <c r="F12" s="12"/>
      <c r="G12" s="8">
        <f t="shared" si="0"/>
        <v>0</v>
      </c>
      <c r="H12" s="10"/>
    </row>
    <row r="13" spans="1:8" ht="13" x14ac:dyDescent="0.15">
      <c r="B13" s="9"/>
      <c r="C13" s="10"/>
      <c r="D13" s="10"/>
      <c r="E13" s="11"/>
      <c r="F13" s="12"/>
      <c r="G13" s="8">
        <f t="shared" si="0"/>
        <v>0</v>
      </c>
      <c r="H13" s="10"/>
    </row>
    <row r="14" spans="1:8" ht="13" x14ac:dyDescent="0.15">
      <c r="B14" s="9"/>
      <c r="C14" s="10"/>
      <c r="D14" s="10"/>
      <c r="E14" s="11"/>
      <c r="F14" s="12"/>
      <c r="G14" s="8">
        <f t="shared" si="0"/>
        <v>0</v>
      </c>
      <c r="H14" s="10"/>
    </row>
    <row r="15" spans="1:8" ht="13" x14ac:dyDescent="0.15">
      <c r="B15" s="9"/>
      <c r="C15" s="10"/>
      <c r="D15" s="10"/>
      <c r="E15" s="11"/>
      <c r="F15" s="12"/>
      <c r="G15" s="8">
        <f t="shared" si="0"/>
        <v>0</v>
      </c>
      <c r="H15" s="10"/>
    </row>
    <row r="16" spans="1:8" ht="13" x14ac:dyDescent="0.15">
      <c r="B16" s="9"/>
      <c r="C16" s="10"/>
      <c r="D16" s="10"/>
      <c r="E16" s="11"/>
      <c r="F16" s="12"/>
      <c r="G16" s="8">
        <f t="shared" si="0"/>
        <v>0</v>
      </c>
      <c r="H16" s="10"/>
    </row>
    <row r="17" spans="2:8" ht="13" x14ac:dyDescent="0.15">
      <c r="B17" s="9"/>
      <c r="C17" s="10"/>
      <c r="D17" s="10"/>
      <c r="E17" s="11"/>
      <c r="F17" s="12"/>
      <c r="G17" s="8">
        <f t="shared" si="0"/>
        <v>0</v>
      </c>
      <c r="H17" s="10"/>
    </row>
    <row r="18" spans="2:8" ht="13" x14ac:dyDescent="0.15">
      <c r="B18" s="9"/>
      <c r="C18" s="10"/>
      <c r="D18" s="10"/>
      <c r="E18" s="11"/>
      <c r="F18" s="12"/>
      <c r="G18" s="8">
        <f t="shared" si="0"/>
        <v>0</v>
      </c>
      <c r="H18" s="10"/>
    </row>
    <row r="19" spans="2:8" ht="13" x14ac:dyDescent="0.15">
      <c r="B19" s="9"/>
      <c r="C19" s="10"/>
      <c r="D19" s="10"/>
      <c r="E19" s="11"/>
      <c r="F19" s="12"/>
      <c r="G19" s="8">
        <f t="shared" si="0"/>
        <v>0</v>
      </c>
      <c r="H19" s="10"/>
    </row>
    <row r="20" spans="2:8" ht="13" x14ac:dyDescent="0.15">
      <c r="B20" s="9"/>
      <c r="C20" s="10"/>
      <c r="D20" s="10"/>
      <c r="E20" s="11"/>
      <c r="F20" s="12"/>
      <c r="G20" s="8">
        <f t="shared" si="0"/>
        <v>0</v>
      </c>
      <c r="H20" s="10"/>
    </row>
    <row r="21" spans="2:8" ht="13" x14ac:dyDescent="0.15">
      <c r="B21" s="9"/>
      <c r="C21" s="10"/>
      <c r="D21" s="10"/>
      <c r="E21" s="11"/>
      <c r="F21" s="12"/>
      <c r="G21" s="8">
        <f t="shared" si="0"/>
        <v>0</v>
      </c>
      <c r="H21" s="10"/>
    </row>
    <row r="22" spans="2:8" ht="13" x14ac:dyDescent="0.15">
      <c r="B22" s="9"/>
      <c r="C22" s="10"/>
      <c r="D22" s="10"/>
      <c r="E22" s="11"/>
      <c r="F22" s="12"/>
      <c r="G22" s="8">
        <f t="shared" si="0"/>
        <v>0</v>
      </c>
      <c r="H22" s="10"/>
    </row>
    <row r="23" spans="2:8" ht="13" x14ac:dyDescent="0.15">
      <c r="B23" s="9"/>
      <c r="C23" s="10"/>
      <c r="D23" s="10"/>
      <c r="E23" s="11"/>
      <c r="F23" s="12"/>
      <c r="G23" s="8">
        <f t="shared" si="0"/>
        <v>0</v>
      </c>
      <c r="H23" s="10"/>
    </row>
    <row r="24" spans="2:8" ht="13" x14ac:dyDescent="0.15">
      <c r="B24" s="9"/>
      <c r="C24" s="10"/>
      <c r="D24" s="10"/>
      <c r="E24" s="11"/>
      <c r="F24" s="12"/>
      <c r="G24" s="8">
        <f t="shared" si="0"/>
        <v>0</v>
      </c>
      <c r="H24" s="10"/>
    </row>
    <row r="25" spans="2:8" ht="13" x14ac:dyDescent="0.15">
      <c r="B25" s="9"/>
      <c r="C25" s="10"/>
      <c r="D25" s="10"/>
      <c r="E25" s="11"/>
      <c r="F25" s="12"/>
      <c r="G25" s="8">
        <f t="shared" si="0"/>
        <v>0</v>
      </c>
      <c r="H25" s="10"/>
    </row>
    <row r="26" spans="2:8" ht="13" x14ac:dyDescent="0.15">
      <c r="B26" s="9"/>
      <c r="C26" s="10"/>
      <c r="D26" s="10"/>
      <c r="E26" s="11"/>
      <c r="F26" s="12"/>
      <c r="G26" s="8">
        <f t="shared" si="0"/>
        <v>0</v>
      </c>
      <c r="H26" s="10"/>
    </row>
    <row r="27" spans="2:8" ht="13" x14ac:dyDescent="0.15">
      <c r="B27" s="9"/>
      <c r="C27" s="10"/>
      <c r="D27" s="10"/>
      <c r="E27" s="11"/>
      <c r="F27" s="12"/>
      <c r="G27" s="8">
        <f t="shared" si="0"/>
        <v>0</v>
      </c>
      <c r="H27" s="10"/>
    </row>
    <row r="28" spans="2:8" ht="13" x14ac:dyDescent="0.15">
      <c r="B28" s="9"/>
      <c r="C28" s="10"/>
      <c r="D28" s="10"/>
      <c r="E28" s="11"/>
      <c r="F28" s="12"/>
      <c r="G28" s="8">
        <f t="shared" si="0"/>
        <v>0</v>
      </c>
      <c r="H28" s="10"/>
    </row>
    <row r="29" spans="2:8" ht="13" x14ac:dyDescent="0.15">
      <c r="B29" s="9"/>
      <c r="C29" s="10"/>
      <c r="D29" s="10"/>
      <c r="E29" s="11"/>
      <c r="F29" s="12"/>
      <c r="G29" s="8">
        <f t="shared" si="0"/>
        <v>0</v>
      </c>
      <c r="H29" s="10"/>
    </row>
    <row r="30" spans="2:8" ht="13" x14ac:dyDescent="0.15">
      <c r="B30" s="9"/>
      <c r="C30" s="10"/>
      <c r="D30" s="10"/>
      <c r="E30" s="11"/>
      <c r="F30" s="12"/>
      <c r="G30" s="8">
        <f t="shared" si="0"/>
        <v>0</v>
      </c>
      <c r="H30" s="10"/>
    </row>
    <row r="31" spans="2:8" ht="13" x14ac:dyDescent="0.15">
      <c r="B31" s="9"/>
      <c r="C31" s="10"/>
      <c r="D31" s="10"/>
      <c r="E31" s="11"/>
      <c r="F31" s="12"/>
      <c r="G31" s="8">
        <f t="shared" si="0"/>
        <v>0</v>
      </c>
      <c r="H31" s="10"/>
    </row>
    <row r="32" spans="2:8" ht="13" x14ac:dyDescent="0.15">
      <c r="B32" s="9"/>
      <c r="C32" s="10"/>
      <c r="D32" s="10"/>
      <c r="E32" s="11"/>
      <c r="F32" s="12"/>
      <c r="G32" s="8">
        <f t="shared" si="0"/>
        <v>0</v>
      </c>
      <c r="H32" s="10"/>
    </row>
    <row r="33" spans="2:8" ht="13" x14ac:dyDescent="0.15">
      <c r="B33" s="9"/>
      <c r="C33" s="10"/>
      <c r="D33" s="10"/>
      <c r="E33" s="11"/>
      <c r="F33" s="12"/>
      <c r="G33" s="8">
        <f t="shared" si="0"/>
        <v>0</v>
      </c>
      <c r="H33" s="10"/>
    </row>
    <row r="34" spans="2:8" ht="13" x14ac:dyDescent="0.15">
      <c r="B34" s="9"/>
      <c r="C34" s="10"/>
      <c r="D34" s="10"/>
      <c r="E34" s="11"/>
      <c r="F34" s="12"/>
      <c r="G34" s="8">
        <f t="shared" si="0"/>
        <v>0</v>
      </c>
      <c r="H34" s="10"/>
    </row>
    <row r="35" spans="2:8" ht="13" x14ac:dyDescent="0.15">
      <c r="B35" s="9"/>
      <c r="C35" s="10"/>
      <c r="D35" s="10"/>
      <c r="E35" s="11"/>
      <c r="F35" s="12"/>
      <c r="G35" s="8">
        <f t="shared" si="0"/>
        <v>0</v>
      </c>
      <c r="H35" s="10"/>
    </row>
    <row r="36" spans="2:8" ht="13" x14ac:dyDescent="0.15">
      <c r="B36" s="9"/>
      <c r="C36" s="10"/>
      <c r="D36" s="10"/>
      <c r="E36" s="11"/>
      <c r="F36" s="12"/>
      <c r="G36" s="8">
        <f t="shared" si="0"/>
        <v>0</v>
      </c>
      <c r="H36" s="10"/>
    </row>
    <row r="37" spans="2:8" ht="13" x14ac:dyDescent="0.15">
      <c r="B37" s="9"/>
      <c r="C37" s="10"/>
      <c r="D37" s="10"/>
      <c r="E37" s="11"/>
      <c r="F37" s="12"/>
      <c r="G37" s="8">
        <f t="shared" si="0"/>
        <v>0</v>
      </c>
      <c r="H37" s="10"/>
    </row>
    <row r="38" spans="2:8" ht="13" x14ac:dyDescent="0.15">
      <c r="B38" s="9"/>
      <c r="C38" s="10"/>
      <c r="D38" s="10"/>
      <c r="E38" s="11"/>
      <c r="F38" s="12"/>
      <c r="G38" s="8">
        <f t="shared" si="0"/>
        <v>0</v>
      </c>
      <c r="H38" s="10"/>
    </row>
    <row r="39" spans="2:8" ht="13" x14ac:dyDescent="0.15">
      <c r="B39" s="9"/>
      <c r="C39" s="10"/>
      <c r="D39" s="10"/>
      <c r="E39" s="11"/>
      <c r="F39" s="12"/>
      <c r="G39" s="8">
        <f t="shared" si="0"/>
        <v>0</v>
      </c>
      <c r="H39" s="10"/>
    </row>
    <row r="40" spans="2:8" ht="13" x14ac:dyDescent="0.15">
      <c r="B40" s="9"/>
      <c r="C40" s="10"/>
      <c r="D40" s="10"/>
      <c r="E40" s="11"/>
      <c r="F40" s="12"/>
      <c r="G40" s="8">
        <f t="shared" si="0"/>
        <v>0</v>
      </c>
      <c r="H40" s="10"/>
    </row>
    <row r="41" spans="2:8" ht="13" x14ac:dyDescent="0.15">
      <c r="B41" s="9"/>
      <c r="C41" s="10"/>
      <c r="D41" s="10"/>
      <c r="E41" s="11"/>
      <c r="F41" s="12"/>
      <c r="G41" s="8">
        <f t="shared" si="0"/>
        <v>0</v>
      </c>
      <c r="H41" s="10"/>
    </row>
    <row r="42" spans="2:8" ht="13" x14ac:dyDescent="0.15">
      <c r="B42" s="9"/>
      <c r="C42" s="10"/>
      <c r="D42" s="10"/>
      <c r="E42" s="11"/>
      <c r="F42" s="12"/>
      <c r="G42" s="8">
        <f t="shared" si="0"/>
        <v>0</v>
      </c>
      <c r="H42" s="10"/>
    </row>
    <row r="43" spans="2:8" ht="13" x14ac:dyDescent="0.15">
      <c r="B43" s="9">
        <v>46045</v>
      </c>
      <c r="C43" s="10" t="s">
        <v>101</v>
      </c>
      <c r="D43" s="10" t="s">
        <v>102</v>
      </c>
      <c r="E43" s="11">
        <v>25</v>
      </c>
      <c r="F43" s="12">
        <v>1500</v>
      </c>
      <c r="G43" s="8">
        <f t="shared" si="0"/>
        <v>37500</v>
      </c>
      <c r="H43" s="10"/>
    </row>
    <row r="44" spans="2:8" ht="13" x14ac:dyDescent="0.15">
      <c r="B44" s="9">
        <v>46046</v>
      </c>
      <c r="C44" s="10" t="s">
        <v>98</v>
      </c>
      <c r="D44" s="10" t="s">
        <v>104</v>
      </c>
      <c r="E44" s="11">
        <v>2</v>
      </c>
      <c r="F44" s="12">
        <v>110000</v>
      </c>
      <c r="G44" s="8">
        <f t="shared" si="0"/>
        <v>220000</v>
      </c>
      <c r="H44" s="10"/>
    </row>
    <row r="45" spans="2:8" ht="13" x14ac:dyDescent="0.15">
      <c r="B45" s="9">
        <v>46049</v>
      </c>
      <c r="C45" s="10" t="s">
        <v>98</v>
      </c>
      <c r="D45" s="10" t="s">
        <v>16</v>
      </c>
      <c r="E45" s="11">
        <v>2</v>
      </c>
      <c r="F45" s="12">
        <v>61000</v>
      </c>
      <c r="G45" s="8">
        <f t="shared" si="0"/>
        <v>122000</v>
      </c>
      <c r="H45" s="10"/>
    </row>
    <row r="46" spans="2:8" ht="13" x14ac:dyDescent="0.15">
      <c r="B46" s="9">
        <v>46050</v>
      </c>
      <c r="C46" s="10" t="s">
        <v>98</v>
      </c>
      <c r="D46" s="10" t="s">
        <v>16</v>
      </c>
      <c r="E46" s="11">
        <v>20</v>
      </c>
      <c r="F46" s="12">
        <v>61000</v>
      </c>
      <c r="G46" s="8">
        <f t="shared" si="0"/>
        <v>1220000</v>
      </c>
      <c r="H46" s="10"/>
    </row>
    <row r="47" spans="2:8" ht="13" x14ac:dyDescent="0.15">
      <c r="B47" s="9">
        <v>46051</v>
      </c>
      <c r="C47" s="10" t="s">
        <v>45</v>
      </c>
      <c r="D47" s="10" t="s">
        <v>106</v>
      </c>
      <c r="E47" s="11">
        <v>1</v>
      </c>
      <c r="F47" s="12">
        <v>624308</v>
      </c>
      <c r="G47" s="8">
        <f t="shared" si="0"/>
        <v>624308</v>
      </c>
      <c r="H47" s="10"/>
    </row>
    <row r="48" spans="2:8" ht="13" x14ac:dyDescent="0.15">
      <c r="B48" s="9">
        <v>46051</v>
      </c>
      <c r="C48" s="10" t="s">
        <v>109</v>
      </c>
      <c r="D48" s="10" t="s">
        <v>110</v>
      </c>
      <c r="E48" s="11">
        <v>8</v>
      </c>
      <c r="F48" s="12">
        <v>234432</v>
      </c>
      <c r="G48" s="8">
        <f t="shared" si="0"/>
        <v>1875456</v>
      </c>
      <c r="H48" s="10"/>
    </row>
    <row r="49" spans="2:8" ht="13" x14ac:dyDescent="0.15">
      <c r="B49" s="9">
        <v>46051</v>
      </c>
      <c r="C49" s="10" t="s">
        <v>26</v>
      </c>
      <c r="D49" s="10" t="s">
        <v>112</v>
      </c>
      <c r="E49" s="11">
        <v>1</v>
      </c>
      <c r="F49" s="12">
        <v>500000</v>
      </c>
      <c r="G49" s="8">
        <f t="shared" si="0"/>
        <v>500000</v>
      </c>
      <c r="H49" s="10"/>
    </row>
    <row r="50" spans="2:8" ht="13" x14ac:dyDescent="0.15">
      <c r="B50" s="9">
        <v>46052</v>
      </c>
      <c r="C50" s="10" t="s">
        <v>47</v>
      </c>
      <c r="D50" s="10" t="s">
        <v>113</v>
      </c>
      <c r="E50" s="11">
        <v>1</v>
      </c>
      <c r="F50" s="12">
        <v>2500000</v>
      </c>
      <c r="G50" s="8">
        <f t="shared" si="0"/>
        <v>2500000</v>
      </c>
      <c r="H50" s="10"/>
    </row>
    <row r="51" spans="2:8" ht="13" x14ac:dyDescent="0.15">
      <c r="B51" s="9"/>
      <c r="C51" s="10"/>
      <c r="D51" s="10" t="s">
        <v>118</v>
      </c>
      <c r="E51" s="11">
        <v>1</v>
      </c>
      <c r="F51" s="12">
        <v>1000000</v>
      </c>
      <c r="G51" s="8">
        <f t="shared" si="0"/>
        <v>1000000</v>
      </c>
      <c r="H51" s="10"/>
    </row>
    <row r="52" spans="2:8" ht="13" x14ac:dyDescent="0.15">
      <c r="B52" s="9">
        <v>46053</v>
      </c>
      <c r="C52" s="10" t="s">
        <v>22</v>
      </c>
      <c r="D52" s="10" t="s">
        <v>122</v>
      </c>
      <c r="E52" s="11">
        <v>5</v>
      </c>
      <c r="F52" s="12">
        <v>160000</v>
      </c>
      <c r="G52" s="8">
        <f t="shared" si="0"/>
        <v>800000</v>
      </c>
      <c r="H52" s="10"/>
    </row>
    <row r="53" spans="2:8" ht="13" x14ac:dyDescent="0.15">
      <c r="B53" s="9"/>
      <c r="C53" s="10"/>
      <c r="D53" s="10"/>
      <c r="E53" s="11"/>
      <c r="F53" s="12"/>
      <c r="G53" s="8">
        <f t="shared" si="0"/>
        <v>0</v>
      </c>
      <c r="H53" s="10"/>
    </row>
    <row r="54" spans="2:8" ht="13" x14ac:dyDescent="0.15">
      <c r="B54" s="9">
        <v>46053</v>
      </c>
      <c r="C54" s="10"/>
      <c r="D54" s="10" t="s">
        <v>128</v>
      </c>
      <c r="E54" s="11">
        <v>2</v>
      </c>
      <c r="F54" s="12">
        <v>30000</v>
      </c>
      <c r="G54" s="8">
        <f t="shared" si="0"/>
        <v>60000</v>
      </c>
      <c r="H54" s="10"/>
    </row>
    <row r="55" spans="2:8" ht="13" x14ac:dyDescent="0.15">
      <c r="B55" s="9"/>
      <c r="C55" s="10"/>
      <c r="D55" s="10" t="s">
        <v>131</v>
      </c>
      <c r="E55" s="11">
        <v>1</v>
      </c>
      <c r="F55" s="12">
        <v>10000</v>
      </c>
      <c r="G55" s="8">
        <f t="shared" si="0"/>
        <v>10000</v>
      </c>
      <c r="H55" s="10"/>
    </row>
    <row r="56" spans="2:8" ht="13" x14ac:dyDescent="0.15">
      <c r="B56" s="9"/>
      <c r="C56" s="10"/>
      <c r="D56" s="10" t="s">
        <v>136</v>
      </c>
      <c r="E56" s="11">
        <v>1</v>
      </c>
      <c r="F56" s="12">
        <v>20000</v>
      </c>
      <c r="G56" s="8">
        <f t="shared" si="0"/>
        <v>20000</v>
      </c>
      <c r="H56" s="10"/>
    </row>
    <row r="57" spans="2:8" ht="13" x14ac:dyDescent="0.15">
      <c r="B57" s="9"/>
      <c r="C57" s="10"/>
      <c r="D57" s="10" t="s">
        <v>138</v>
      </c>
      <c r="E57" s="11">
        <v>1</v>
      </c>
      <c r="F57" s="12">
        <v>10000</v>
      </c>
      <c r="G57" s="8">
        <f t="shared" si="0"/>
        <v>10000</v>
      </c>
      <c r="H57" s="10"/>
    </row>
    <row r="58" spans="2:8" ht="13" x14ac:dyDescent="0.15">
      <c r="B58" s="9"/>
      <c r="C58" s="10"/>
      <c r="D58" s="10" t="s">
        <v>143</v>
      </c>
      <c r="E58" s="11">
        <v>1</v>
      </c>
      <c r="F58" s="12">
        <v>15000</v>
      </c>
      <c r="G58" s="8">
        <f t="shared" si="0"/>
        <v>15000</v>
      </c>
      <c r="H58" s="10"/>
    </row>
    <row r="59" spans="2:8" ht="13" x14ac:dyDescent="0.15">
      <c r="B59" s="9">
        <v>46053</v>
      </c>
      <c r="C59" s="10" t="s">
        <v>26</v>
      </c>
      <c r="D59" s="10" t="s">
        <v>147</v>
      </c>
      <c r="E59" s="11">
        <v>1</v>
      </c>
      <c r="F59" s="12">
        <v>250000</v>
      </c>
      <c r="G59" s="8">
        <f t="shared" si="0"/>
        <v>250000</v>
      </c>
      <c r="H59" s="10"/>
    </row>
    <row r="60" spans="2:8" ht="13" x14ac:dyDescent="0.15">
      <c r="B60" s="9"/>
      <c r="C60" s="10"/>
      <c r="D60" s="10"/>
      <c r="E60" s="11"/>
      <c r="F60" s="12"/>
      <c r="G60" s="8">
        <f t="shared" si="0"/>
        <v>0</v>
      </c>
      <c r="H60" s="10"/>
    </row>
    <row r="61" spans="2:8" ht="13" x14ac:dyDescent="0.15">
      <c r="B61" s="9"/>
      <c r="C61" s="10"/>
      <c r="D61" s="10"/>
      <c r="E61" s="11"/>
      <c r="F61" s="12"/>
      <c r="G61" s="8">
        <f t="shared" si="0"/>
        <v>0</v>
      </c>
      <c r="H61" s="10"/>
    </row>
    <row r="62" spans="2:8" ht="13" x14ac:dyDescent="0.15">
      <c r="B62" s="9"/>
      <c r="C62" s="10"/>
      <c r="D62" s="10" t="s">
        <v>153</v>
      </c>
      <c r="E62" s="11">
        <v>1</v>
      </c>
      <c r="F62" s="12">
        <v>2800000</v>
      </c>
      <c r="G62" s="8">
        <f t="shared" si="0"/>
        <v>2800000</v>
      </c>
      <c r="H62" s="10"/>
    </row>
    <row r="63" spans="2:8" ht="13" x14ac:dyDescent="0.15">
      <c r="B63" s="13"/>
      <c r="C63" s="14"/>
      <c r="D63" s="14"/>
      <c r="E63" s="15"/>
      <c r="F63" s="16"/>
      <c r="G63" s="17"/>
      <c r="H63" s="14"/>
    </row>
    <row r="64" spans="2:8" ht="35.25" customHeight="1" x14ac:dyDescent="0.15">
      <c r="B64" s="26" t="s">
        <v>42</v>
      </c>
      <c r="C64" s="27"/>
      <c r="D64" s="27"/>
      <c r="E64" s="27"/>
      <c r="F64" s="28"/>
      <c r="G64" s="29">
        <f>SUM(G4:G62)</f>
        <v>19094264</v>
      </c>
      <c r="H64" s="28"/>
    </row>
  </sheetData>
  <mergeCells count="2">
    <mergeCell ref="B64:F64"/>
    <mergeCell ref="G64:H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86"/>
  <sheetViews>
    <sheetView workbookViewId="0"/>
  </sheetViews>
  <sheetFormatPr baseColWidth="10" defaultColWidth="12.6640625" defaultRowHeight="15.75" customHeight="1" x14ac:dyDescent="0.15"/>
  <cols>
    <col min="3" max="3" width="25.6640625" customWidth="1"/>
    <col min="4" max="4" width="38.33203125" customWidth="1"/>
    <col min="6" max="6" width="25.5" customWidth="1"/>
    <col min="7" max="7" width="25.33203125" customWidth="1"/>
    <col min="8" max="8" width="35.6640625" customWidth="1"/>
  </cols>
  <sheetData>
    <row r="1" spans="1:8" ht="13" x14ac:dyDescent="0.15">
      <c r="A1" s="4" t="s">
        <v>7</v>
      </c>
    </row>
    <row r="3" spans="1:8" ht="42.75" customHeight="1" x14ac:dyDescent="0.1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 ht="13" x14ac:dyDescent="0.15">
      <c r="B4" s="2"/>
      <c r="C4" s="3"/>
      <c r="D4" s="3"/>
      <c r="E4" s="5"/>
      <c r="F4" s="6"/>
      <c r="G4" s="7"/>
      <c r="H4" s="3"/>
    </row>
    <row r="5" spans="1:8" ht="13" x14ac:dyDescent="0.15">
      <c r="B5" s="2"/>
      <c r="C5" s="3"/>
      <c r="D5" s="3"/>
      <c r="E5" s="5"/>
      <c r="F5" s="6"/>
      <c r="G5" s="8">
        <f t="shared" ref="G5:G84" si="0">E5*F5</f>
        <v>0</v>
      </c>
      <c r="H5" s="3"/>
    </row>
    <row r="6" spans="1:8" ht="13" x14ac:dyDescent="0.15">
      <c r="B6" s="2">
        <v>46055</v>
      </c>
      <c r="C6" s="3" t="s">
        <v>14</v>
      </c>
      <c r="D6" s="3" t="s">
        <v>15</v>
      </c>
      <c r="E6" s="5">
        <v>1</v>
      </c>
      <c r="F6" s="6">
        <v>2400000</v>
      </c>
      <c r="G6" s="8">
        <f t="shared" si="0"/>
        <v>2400000</v>
      </c>
      <c r="H6" s="3"/>
    </row>
    <row r="7" spans="1:8" ht="13" x14ac:dyDescent="0.15">
      <c r="B7" s="2">
        <v>46057</v>
      </c>
      <c r="C7" s="3" t="s">
        <v>8</v>
      </c>
      <c r="D7" s="3" t="s">
        <v>38</v>
      </c>
      <c r="E7" s="5">
        <v>1000</v>
      </c>
      <c r="F7" s="6">
        <v>3000</v>
      </c>
      <c r="G7" s="8">
        <f t="shared" si="0"/>
        <v>3000000</v>
      </c>
      <c r="H7" s="3"/>
    </row>
    <row r="8" spans="1:8" ht="13" x14ac:dyDescent="0.15">
      <c r="B8" s="2">
        <v>46057</v>
      </c>
      <c r="C8" s="3" t="s">
        <v>53</v>
      </c>
      <c r="D8" s="3" t="s">
        <v>54</v>
      </c>
      <c r="E8" s="5">
        <v>4</v>
      </c>
      <c r="F8" s="6">
        <v>600000</v>
      </c>
      <c r="G8" s="8">
        <f t="shared" si="0"/>
        <v>2400000</v>
      </c>
      <c r="H8" s="3"/>
    </row>
    <row r="9" spans="1:8" ht="13" x14ac:dyDescent="0.15">
      <c r="B9" s="2">
        <v>46059</v>
      </c>
      <c r="C9" s="3" t="s">
        <v>8</v>
      </c>
      <c r="D9" s="3" t="s">
        <v>16</v>
      </c>
      <c r="E9" s="5">
        <v>20</v>
      </c>
      <c r="F9" s="6">
        <v>61000</v>
      </c>
      <c r="G9" s="8">
        <f t="shared" si="0"/>
        <v>1220000</v>
      </c>
      <c r="H9" s="3"/>
    </row>
    <row r="10" spans="1:8" ht="13" x14ac:dyDescent="0.15">
      <c r="B10" s="2">
        <v>46060</v>
      </c>
      <c r="C10" s="3" t="s">
        <v>8</v>
      </c>
      <c r="D10" s="3" t="s">
        <v>59</v>
      </c>
      <c r="E10" s="5">
        <v>5</v>
      </c>
      <c r="F10" s="6">
        <v>18000</v>
      </c>
      <c r="G10" s="8">
        <f t="shared" si="0"/>
        <v>90000</v>
      </c>
      <c r="H10" s="3"/>
    </row>
    <row r="11" spans="1:8" ht="13" x14ac:dyDescent="0.15">
      <c r="B11" s="2"/>
      <c r="C11" s="3"/>
      <c r="D11" s="3" t="s">
        <v>62</v>
      </c>
      <c r="E11" s="5">
        <v>1</v>
      </c>
      <c r="F11" s="6">
        <v>22000</v>
      </c>
      <c r="G11" s="8">
        <f t="shared" si="0"/>
        <v>22000</v>
      </c>
      <c r="H11" s="3"/>
    </row>
    <row r="12" spans="1:8" ht="13" x14ac:dyDescent="0.15">
      <c r="B12" s="2">
        <v>46061</v>
      </c>
      <c r="C12" s="3" t="s">
        <v>8</v>
      </c>
      <c r="D12" s="3" t="s">
        <v>66</v>
      </c>
      <c r="E12" s="5">
        <v>2</v>
      </c>
      <c r="F12" s="6">
        <v>65000</v>
      </c>
      <c r="G12" s="8">
        <f t="shared" si="0"/>
        <v>130000</v>
      </c>
      <c r="H12" s="3"/>
    </row>
    <row r="13" spans="1:8" ht="13" x14ac:dyDescent="0.15">
      <c r="B13" s="9"/>
      <c r="C13" s="10"/>
      <c r="D13" s="10"/>
      <c r="E13" s="11"/>
      <c r="F13" s="12"/>
      <c r="G13" s="8">
        <f t="shared" si="0"/>
        <v>0</v>
      </c>
      <c r="H13" s="10"/>
    </row>
    <row r="14" spans="1:8" ht="13" x14ac:dyDescent="0.15">
      <c r="B14" s="9"/>
      <c r="C14" s="10"/>
      <c r="D14" s="10"/>
      <c r="E14" s="11"/>
      <c r="F14" s="12"/>
      <c r="G14" s="8">
        <f t="shared" si="0"/>
        <v>0</v>
      </c>
      <c r="H14" s="10"/>
    </row>
    <row r="15" spans="1:8" ht="13" x14ac:dyDescent="0.15">
      <c r="B15" s="9"/>
      <c r="C15" s="10"/>
      <c r="D15" s="10"/>
      <c r="E15" s="11"/>
      <c r="F15" s="12"/>
      <c r="G15" s="8">
        <f t="shared" si="0"/>
        <v>0</v>
      </c>
      <c r="H15" s="10"/>
    </row>
    <row r="16" spans="1:8" ht="13" x14ac:dyDescent="0.15">
      <c r="B16" s="9"/>
      <c r="C16" s="10"/>
      <c r="D16" s="10"/>
      <c r="E16" s="11"/>
      <c r="F16" s="12"/>
      <c r="G16" s="8">
        <f t="shared" si="0"/>
        <v>0</v>
      </c>
      <c r="H16" s="10"/>
    </row>
    <row r="17" spans="2:8" ht="13" x14ac:dyDescent="0.15">
      <c r="B17" s="9"/>
      <c r="C17" s="10"/>
      <c r="D17" s="10"/>
      <c r="E17" s="11"/>
      <c r="F17" s="12"/>
      <c r="G17" s="8">
        <f t="shared" si="0"/>
        <v>0</v>
      </c>
      <c r="H17" s="10"/>
    </row>
    <row r="18" spans="2:8" ht="13" x14ac:dyDescent="0.15">
      <c r="B18" s="9"/>
      <c r="C18" s="10"/>
      <c r="D18" s="10"/>
      <c r="E18" s="11"/>
      <c r="F18" s="12"/>
      <c r="G18" s="8">
        <f t="shared" si="0"/>
        <v>0</v>
      </c>
      <c r="H18" s="10"/>
    </row>
    <row r="19" spans="2:8" ht="13" x14ac:dyDescent="0.15">
      <c r="B19" s="9"/>
      <c r="C19" s="10"/>
      <c r="D19" s="10"/>
      <c r="E19" s="11"/>
      <c r="F19" s="12"/>
      <c r="G19" s="8">
        <f t="shared" si="0"/>
        <v>0</v>
      </c>
      <c r="H19" s="10"/>
    </row>
    <row r="20" spans="2:8" ht="13" x14ac:dyDescent="0.15">
      <c r="B20" s="9"/>
      <c r="C20" s="10"/>
      <c r="D20" s="10"/>
      <c r="E20" s="11"/>
      <c r="F20" s="12"/>
      <c r="G20" s="8">
        <f t="shared" si="0"/>
        <v>0</v>
      </c>
      <c r="H20" s="10"/>
    </row>
    <row r="21" spans="2:8" ht="13" x14ac:dyDescent="0.15">
      <c r="B21" s="9"/>
      <c r="C21" s="10"/>
      <c r="D21" s="10"/>
      <c r="E21" s="11"/>
      <c r="F21" s="12"/>
      <c r="G21" s="8">
        <f t="shared" si="0"/>
        <v>0</v>
      </c>
      <c r="H21" s="10"/>
    </row>
    <row r="22" spans="2:8" ht="13" x14ac:dyDescent="0.15">
      <c r="B22" s="9"/>
      <c r="C22" s="10"/>
      <c r="D22" s="10"/>
      <c r="E22" s="11"/>
      <c r="F22" s="12"/>
      <c r="G22" s="8">
        <f t="shared" si="0"/>
        <v>0</v>
      </c>
      <c r="H22" s="10"/>
    </row>
    <row r="23" spans="2:8" ht="13" x14ac:dyDescent="0.15">
      <c r="B23" s="9"/>
      <c r="C23" s="10"/>
      <c r="D23" s="10"/>
      <c r="E23" s="11"/>
      <c r="F23" s="12"/>
      <c r="G23" s="8">
        <f t="shared" si="0"/>
        <v>0</v>
      </c>
      <c r="H23" s="10"/>
    </row>
    <row r="24" spans="2:8" ht="13" x14ac:dyDescent="0.15">
      <c r="B24" s="9"/>
      <c r="C24" s="10"/>
      <c r="D24" s="10"/>
      <c r="E24" s="11"/>
      <c r="F24" s="12"/>
      <c r="G24" s="8">
        <f t="shared" si="0"/>
        <v>0</v>
      </c>
      <c r="H24" s="10"/>
    </row>
    <row r="25" spans="2:8" ht="13" x14ac:dyDescent="0.15">
      <c r="B25" s="9"/>
      <c r="C25" s="10"/>
      <c r="D25" s="10"/>
      <c r="E25" s="11"/>
      <c r="F25" s="12"/>
      <c r="G25" s="8">
        <f t="shared" si="0"/>
        <v>0</v>
      </c>
      <c r="H25" s="10"/>
    </row>
    <row r="26" spans="2:8" ht="13" x14ac:dyDescent="0.15">
      <c r="B26" s="9"/>
      <c r="C26" s="10"/>
      <c r="D26" s="10"/>
      <c r="E26" s="11"/>
      <c r="F26" s="12"/>
      <c r="G26" s="8">
        <f t="shared" si="0"/>
        <v>0</v>
      </c>
      <c r="H26" s="10"/>
    </row>
    <row r="27" spans="2:8" ht="13" x14ac:dyDescent="0.15">
      <c r="B27" s="9"/>
      <c r="C27" s="10"/>
      <c r="D27" s="10"/>
      <c r="E27" s="11"/>
      <c r="F27" s="12"/>
      <c r="G27" s="8">
        <f t="shared" si="0"/>
        <v>0</v>
      </c>
      <c r="H27" s="10"/>
    </row>
    <row r="28" spans="2:8" ht="13" x14ac:dyDescent="0.15">
      <c r="B28" s="9"/>
      <c r="C28" s="10"/>
      <c r="D28" s="10"/>
      <c r="E28" s="11"/>
      <c r="F28" s="12"/>
      <c r="G28" s="8">
        <f t="shared" si="0"/>
        <v>0</v>
      </c>
      <c r="H28" s="10"/>
    </row>
    <row r="29" spans="2:8" ht="13" x14ac:dyDescent="0.15">
      <c r="B29" s="9"/>
      <c r="C29" s="10"/>
      <c r="D29" s="10"/>
      <c r="E29" s="11"/>
      <c r="F29" s="12"/>
      <c r="G29" s="8">
        <f t="shared" si="0"/>
        <v>0</v>
      </c>
      <c r="H29" s="10"/>
    </row>
    <row r="30" spans="2:8" ht="13" x14ac:dyDescent="0.15">
      <c r="B30" s="9"/>
      <c r="C30" s="10"/>
      <c r="D30" s="10"/>
      <c r="E30" s="11"/>
      <c r="F30" s="12"/>
      <c r="G30" s="8">
        <f t="shared" si="0"/>
        <v>0</v>
      </c>
      <c r="H30" s="10"/>
    </row>
    <row r="31" spans="2:8" ht="13" x14ac:dyDescent="0.15">
      <c r="B31" s="9"/>
      <c r="C31" s="10"/>
      <c r="D31" s="10"/>
      <c r="E31" s="11"/>
      <c r="F31" s="12"/>
      <c r="G31" s="8">
        <f t="shared" si="0"/>
        <v>0</v>
      </c>
      <c r="H31" s="10"/>
    </row>
    <row r="32" spans="2:8" ht="13" x14ac:dyDescent="0.15">
      <c r="B32" s="9"/>
      <c r="C32" s="10"/>
      <c r="D32" s="10"/>
      <c r="E32" s="11"/>
      <c r="F32" s="12"/>
      <c r="G32" s="8">
        <f t="shared" si="0"/>
        <v>0</v>
      </c>
      <c r="H32" s="10"/>
    </row>
    <row r="33" spans="2:8" ht="13" x14ac:dyDescent="0.15">
      <c r="B33" s="9"/>
      <c r="C33" s="10"/>
      <c r="D33" s="10"/>
      <c r="E33" s="11"/>
      <c r="F33" s="12"/>
      <c r="G33" s="8">
        <f t="shared" si="0"/>
        <v>0</v>
      </c>
      <c r="H33" s="10"/>
    </row>
    <row r="34" spans="2:8" ht="13" x14ac:dyDescent="0.15">
      <c r="B34" s="9"/>
      <c r="C34" s="10"/>
      <c r="D34" s="10"/>
      <c r="E34" s="11"/>
      <c r="F34" s="12"/>
      <c r="G34" s="8">
        <f t="shared" si="0"/>
        <v>0</v>
      </c>
      <c r="H34" s="10"/>
    </row>
    <row r="35" spans="2:8" ht="13" x14ac:dyDescent="0.15">
      <c r="B35" s="9"/>
      <c r="C35" s="10"/>
      <c r="D35" s="10"/>
      <c r="E35" s="11"/>
      <c r="F35" s="12"/>
      <c r="G35" s="8">
        <f t="shared" si="0"/>
        <v>0</v>
      </c>
      <c r="H35" s="10"/>
    </row>
    <row r="36" spans="2:8" ht="13" x14ac:dyDescent="0.15">
      <c r="B36" s="9"/>
      <c r="C36" s="10"/>
      <c r="D36" s="10"/>
      <c r="E36" s="11"/>
      <c r="F36" s="12"/>
      <c r="G36" s="8">
        <f t="shared" si="0"/>
        <v>0</v>
      </c>
      <c r="H36" s="10"/>
    </row>
    <row r="37" spans="2:8" ht="13" x14ac:dyDescent="0.15">
      <c r="B37" s="9"/>
      <c r="C37" s="10"/>
      <c r="D37" s="10"/>
      <c r="E37" s="11"/>
      <c r="F37" s="12"/>
      <c r="G37" s="8">
        <f t="shared" si="0"/>
        <v>0</v>
      </c>
      <c r="H37" s="10"/>
    </row>
    <row r="38" spans="2:8" ht="13" x14ac:dyDescent="0.15">
      <c r="B38" s="9"/>
      <c r="C38" s="10"/>
      <c r="D38" s="10"/>
      <c r="E38" s="11"/>
      <c r="F38" s="12"/>
      <c r="G38" s="8">
        <f t="shared" si="0"/>
        <v>0</v>
      </c>
      <c r="H38" s="10"/>
    </row>
    <row r="39" spans="2:8" ht="13" x14ac:dyDescent="0.15">
      <c r="B39" s="9"/>
      <c r="C39" s="10"/>
      <c r="D39" s="10"/>
      <c r="E39" s="11"/>
      <c r="F39" s="12"/>
      <c r="G39" s="8">
        <f t="shared" si="0"/>
        <v>0</v>
      </c>
      <c r="H39" s="10"/>
    </row>
    <row r="40" spans="2:8" ht="13" x14ac:dyDescent="0.15">
      <c r="B40" s="9">
        <v>46067</v>
      </c>
      <c r="C40" s="10" t="s">
        <v>44</v>
      </c>
      <c r="D40" s="10" t="s">
        <v>96</v>
      </c>
      <c r="E40" s="11">
        <v>3</v>
      </c>
      <c r="F40" s="12">
        <v>30000</v>
      </c>
      <c r="G40" s="8">
        <f t="shared" si="0"/>
        <v>90000</v>
      </c>
      <c r="H40" s="10"/>
    </row>
    <row r="41" spans="2:8" ht="13" x14ac:dyDescent="0.15">
      <c r="B41" s="9">
        <v>46068</v>
      </c>
      <c r="C41" s="10" t="s">
        <v>98</v>
      </c>
      <c r="D41" s="10" t="s">
        <v>100</v>
      </c>
      <c r="E41" s="11">
        <v>2</v>
      </c>
      <c r="F41" s="12">
        <v>12000</v>
      </c>
      <c r="G41" s="8">
        <f t="shared" si="0"/>
        <v>24000</v>
      </c>
      <c r="H41" s="10"/>
    </row>
    <row r="42" spans="2:8" ht="13" x14ac:dyDescent="0.15">
      <c r="B42" s="9"/>
      <c r="C42" s="10"/>
      <c r="D42" s="10" t="s">
        <v>66</v>
      </c>
      <c r="E42" s="11">
        <v>1</v>
      </c>
      <c r="F42" s="12">
        <v>225000</v>
      </c>
      <c r="G42" s="8">
        <f t="shared" si="0"/>
        <v>225000</v>
      </c>
      <c r="H42" s="10"/>
    </row>
    <row r="43" spans="2:8" ht="13" x14ac:dyDescent="0.15">
      <c r="B43" s="9"/>
      <c r="C43" s="10"/>
      <c r="D43" s="10" t="s">
        <v>27</v>
      </c>
      <c r="E43" s="11">
        <v>15</v>
      </c>
      <c r="F43" s="12">
        <v>5000</v>
      </c>
      <c r="G43" s="8">
        <f t="shared" si="0"/>
        <v>75000</v>
      </c>
      <c r="H43" s="10"/>
    </row>
    <row r="44" spans="2:8" ht="13" x14ac:dyDescent="0.15">
      <c r="B44" s="9"/>
      <c r="C44" s="10"/>
      <c r="D44" s="10" t="s">
        <v>93</v>
      </c>
      <c r="E44" s="11">
        <v>2</v>
      </c>
      <c r="F44" s="12">
        <v>30000</v>
      </c>
      <c r="G44" s="8">
        <f t="shared" si="0"/>
        <v>60000</v>
      </c>
      <c r="H44" s="10"/>
    </row>
    <row r="45" spans="2:8" ht="13" x14ac:dyDescent="0.15">
      <c r="B45" s="9">
        <v>46069</v>
      </c>
      <c r="C45" s="10" t="s">
        <v>98</v>
      </c>
      <c r="D45" s="10" t="s">
        <v>9</v>
      </c>
      <c r="E45" s="11">
        <v>23</v>
      </c>
      <c r="F45" s="12">
        <v>69000</v>
      </c>
      <c r="G45" s="8">
        <f t="shared" si="0"/>
        <v>1587000</v>
      </c>
      <c r="H45" s="10"/>
    </row>
    <row r="46" spans="2:8" ht="13" x14ac:dyDescent="0.15">
      <c r="B46" s="9"/>
      <c r="C46" s="10"/>
      <c r="D46" s="10" t="s">
        <v>67</v>
      </c>
      <c r="E46" s="11">
        <v>15</v>
      </c>
      <c r="F46" s="12">
        <v>27500</v>
      </c>
      <c r="G46" s="8">
        <f t="shared" si="0"/>
        <v>412500</v>
      </c>
      <c r="H46" s="10"/>
    </row>
    <row r="47" spans="2:8" ht="13" x14ac:dyDescent="0.15">
      <c r="B47" s="9"/>
      <c r="C47" s="10"/>
      <c r="D47" s="10" t="s">
        <v>11</v>
      </c>
      <c r="E47" s="11">
        <v>2</v>
      </c>
      <c r="F47" s="12">
        <v>20000</v>
      </c>
      <c r="G47" s="8">
        <f t="shared" si="0"/>
        <v>40000</v>
      </c>
      <c r="H47" s="10"/>
    </row>
    <row r="48" spans="2:8" ht="13" x14ac:dyDescent="0.15">
      <c r="B48" s="9">
        <v>46069</v>
      </c>
      <c r="C48" s="10" t="s">
        <v>98</v>
      </c>
      <c r="D48" s="10" t="s">
        <v>107</v>
      </c>
      <c r="E48" s="11">
        <v>2</v>
      </c>
      <c r="F48" s="12">
        <v>15000</v>
      </c>
      <c r="G48" s="8">
        <f t="shared" si="0"/>
        <v>30000</v>
      </c>
      <c r="H48" s="10"/>
    </row>
    <row r="49" spans="2:8" ht="13" x14ac:dyDescent="0.15">
      <c r="B49" s="9"/>
      <c r="C49" s="10"/>
      <c r="D49" s="10" t="s">
        <v>66</v>
      </c>
      <c r="E49" s="11">
        <v>1</v>
      </c>
      <c r="F49" s="12">
        <v>225000</v>
      </c>
      <c r="G49" s="8">
        <f t="shared" si="0"/>
        <v>225000</v>
      </c>
      <c r="H49" s="10"/>
    </row>
    <row r="50" spans="2:8" ht="13" x14ac:dyDescent="0.15">
      <c r="B50" s="9">
        <v>46069</v>
      </c>
      <c r="C50" s="10" t="s">
        <v>26</v>
      </c>
      <c r="D50" s="10" t="s">
        <v>111</v>
      </c>
      <c r="E50" s="11">
        <v>1</v>
      </c>
      <c r="F50" s="12">
        <v>750000</v>
      </c>
      <c r="G50" s="8">
        <f t="shared" si="0"/>
        <v>750000</v>
      </c>
      <c r="H50" s="10"/>
    </row>
    <row r="51" spans="2:8" ht="13" x14ac:dyDescent="0.15">
      <c r="B51" s="9">
        <v>46070</v>
      </c>
      <c r="C51" s="10" t="s">
        <v>53</v>
      </c>
      <c r="D51" s="10" t="s">
        <v>54</v>
      </c>
      <c r="E51" s="11">
        <v>2</v>
      </c>
      <c r="F51" s="12">
        <v>600000</v>
      </c>
      <c r="G51" s="8">
        <f t="shared" si="0"/>
        <v>1200000</v>
      </c>
      <c r="H51" s="10"/>
    </row>
    <row r="52" spans="2:8" ht="13" x14ac:dyDescent="0.15">
      <c r="B52" s="9">
        <v>46073</v>
      </c>
      <c r="C52" s="10" t="s">
        <v>45</v>
      </c>
      <c r="D52" s="10" t="s">
        <v>115</v>
      </c>
      <c r="E52" s="11">
        <v>59.63</v>
      </c>
      <c r="F52" s="12">
        <v>13500</v>
      </c>
      <c r="G52" s="8">
        <f t="shared" si="0"/>
        <v>805005</v>
      </c>
      <c r="H52" s="10"/>
    </row>
    <row r="53" spans="2:8" ht="13" x14ac:dyDescent="0.15">
      <c r="B53" s="9">
        <v>46073</v>
      </c>
      <c r="C53" s="10"/>
      <c r="D53" s="10" t="s">
        <v>116</v>
      </c>
      <c r="E53" s="11">
        <v>1</v>
      </c>
      <c r="F53" s="12">
        <v>592000</v>
      </c>
      <c r="G53" s="8">
        <f t="shared" si="0"/>
        <v>592000</v>
      </c>
      <c r="H53" s="10"/>
    </row>
    <row r="54" spans="2:8" ht="13" x14ac:dyDescent="0.15">
      <c r="B54" s="9">
        <v>46073</v>
      </c>
      <c r="C54" s="10" t="s">
        <v>119</v>
      </c>
      <c r="D54" s="10" t="s">
        <v>120</v>
      </c>
      <c r="E54" s="11">
        <v>6</v>
      </c>
      <c r="F54" s="12">
        <v>245000</v>
      </c>
      <c r="G54" s="8">
        <f t="shared" si="0"/>
        <v>1470000</v>
      </c>
      <c r="H54" s="10"/>
    </row>
    <row r="55" spans="2:8" ht="13" x14ac:dyDescent="0.15">
      <c r="B55" s="9"/>
      <c r="C55" s="10"/>
      <c r="D55" s="10" t="s">
        <v>123</v>
      </c>
      <c r="E55" s="11">
        <v>6</v>
      </c>
      <c r="F55" s="12">
        <v>110000</v>
      </c>
      <c r="G55" s="8">
        <f t="shared" si="0"/>
        <v>660000</v>
      </c>
      <c r="H55" s="10"/>
    </row>
    <row r="56" spans="2:8" ht="13" x14ac:dyDescent="0.15">
      <c r="B56" s="9">
        <v>46073</v>
      </c>
      <c r="C56" s="10" t="s">
        <v>8</v>
      </c>
      <c r="D56" s="10" t="s">
        <v>13</v>
      </c>
      <c r="E56" s="11">
        <v>20</v>
      </c>
      <c r="F56" s="12">
        <v>10000</v>
      </c>
      <c r="G56" s="8">
        <f t="shared" si="0"/>
        <v>200000</v>
      </c>
      <c r="H56" s="10"/>
    </row>
    <row r="57" spans="2:8" ht="13" x14ac:dyDescent="0.15">
      <c r="B57" s="9">
        <v>46073</v>
      </c>
      <c r="C57" s="10" t="s">
        <v>98</v>
      </c>
      <c r="D57" s="10" t="s">
        <v>16</v>
      </c>
      <c r="E57" s="11">
        <v>20</v>
      </c>
      <c r="F57" s="12">
        <v>61000</v>
      </c>
      <c r="G57" s="8">
        <f t="shared" si="0"/>
        <v>1220000</v>
      </c>
      <c r="H57" s="10"/>
    </row>
    <row r="58" spans="2:8" ht="13" x14ac:dyDescent="0.15">
      <c r="B58" s="9"/>
      <c r="C58" s="10"/>
      <c r="D58" s="10" t="s">
        <v>9</v>
      </c>
      <c r="E58" s="11">
        <v>7</v>
      </c>
      <c r="F58" s="12">
        <v>69000</v>
      </c>
      <c r="G58" s="8">
        <f t="shared" si="0"/>
        <v>483000</v>
      </c>
      <c r="H58" s="10"/>
    </row>
    <row r="59" spans="2:8" ht="13" x14ac:dyDescent="0.15">
      <c r="B59" s="9"/>
      <c r="C59" s="10"/>
      <c r="D59" s="10" t="s">
        <v>133</v>
      </c>
      <c r="E59" s="11">
        <v>1</v>
      </c>
      <c r="F59" s="12">
        <v>130000</v>
      </c>
      <c r="G59" s="8">
        <f t="shared" si="0"/>
        <v>130000</v>
      </c>
      <c r="H59" s="10"/>
    </row>
    <row r="60" spans="2:8" ht="13" x14ac:dyDescent="0.15">
      <c r="B60" s="9">
        <v>46073</v>
      </c>
      <c r="C60" s="10" t="s">
        <v>47</v>
      </c>
      <c r="D60" s="10" t="s">
        <v>49</v>
      </c>
      <c r="E60" s="11">
        <v>3</v>
      </c>
      <c r="F60" s="12">
        <v>350000</v>
      </c>
      <c r="G60" s="8">
        <f t="shared" si="0"/>
        <v>1050000</v>
      </c>
      <c r="H60" s="10"/>
    </row>
    <row r="61" spans="2:8" ht="13" x14ac:dyDescent="0.15">
      <c r="B61" s="9"/>
      <c r="C61" s="10"/>
      <c r="D61" s="10" t="s">
        <v>139</v>
      </c>
      <c r="E61" s="11">
        <v>2</v>
      </c>
      <c r="F61" s="12">
        <v>1000000</v>
      </c>
      <c r="G61" s="8">
        <f t="shared" si="0"/>
        <v>2000000</v>
      </c>
      <c r="H61" s="10"/>
    </row>
    <row r="62" spans="2:8" ht="13" x14ac:dyDescent="0.15">
      <c r="B62" s="9">
        <v>46074</v>
      </c>
      <c r="C62" s="10" t="s">
        <v>14</v>
      </c>
      <c r="D62" s="10" t="s">
        <v>15</v>
      </c>
      <c r="E62" s="11">
        <v>1</v>
      </c>
      <c r="F62" s="12">
        <v>2400000</v>
      </c>
      <c r="G62" s="8">
        <f t="shared" si="0"/>
        <v>2400000</v>
      </c>
      <c r="H62" s="10"/>
    </row>
    <row r="63" spans="2:8" ht="13" x14ac:dyDescent="0.15">
      <c r="B63" s="9">
        <v>46074</v>
      </c>
      <c r="C63" s="10" t="s">
        <v>145</v>
      </c>
      <c r="D63" s="10" t="s">
        <v>146</v>
      </c>
      <c r="E63" s="11">
        <v>1</v>
      </c>
      <c r="F63" s="12">
        <v>14430000</v>
      </c>
      <c r="G63" s="8">
        <f t="shared" si="0"/>
        <v>14430000</v>
      </c>
      <c r="H63" s="10"/>
    </row>
    <row r="64" spans="2:8" ht="13" x14ac:dyDescent="0.15">
      <c r="B64" s="9"/>
      <c r="C64" s="10"/>
      <c r="D64" s="10" t="s">
        <v>149</v>
      </c>
      <c r="E64" s="11">
        <v>1</v>
      </c>
      <c r="F64" s="12">
        <v>106000</v>
      </c>
      <c r="G64" s="8">
        <f t="shared" si="0"/>
        <v>106000</v>
      </c>
      <c r="H64" s="10"/>
    </row>
    <row r="65" spans="1:26" ht="13" x14ac:dyDescent="0.15">
      <c r="A65" s="19"/>
      <c r="B65" s="20">
        <v>46075</v>
      </c>
      <c r="C65" s="21" t="s">
        <v>14</v>
      </c>
      <c r="D65" s="21" t="s">
        <v>71</v>
      </c>
      <c r="E65" s="22">
        <v>1</v>
      </c>
      <c r="F65" s="23">
        <v>2800000</v>
      </c>
      <c r="G65" s="18">
        <f t="shared" si="0"/>
        <v>2800000</v>
      </c>
      <c r="H65" s="21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3" x14ac:dyDescent="0.15">
      <c r="A66" s="19"/>
      <c r="B66" s="20">
        <v>46076</v>
      </c>
      <c r="C66" s="21" t="s">
        <v>98</v>
      </c>
      <c r="D66" s="21" t="s">
        <v>159</v>
      </c>
      <c r="E66" s="22">
        <v>5</v>
      </c>
      <c r="F66" s="23">
        <v>20000</v>
      </c>
      <c r="G66" s="18">
        <f t="shared" si="0"/>
        <v>100000</v>
      </c>
      <c r="H66" s="21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3" x14ac:dyDescent="0.15">
      <c r="A67" s="19"/>
      <c r="B67" s="20"/>
      <c r="C67" s="21"/>
      <c r="D67" s="21" t="s">
        <v>162</v>
      </c>
      <c r="E67" s="22">
        <v>3</v>
      </c>
      <c r="F67" s="23">
        <v>12000</v>
      </c>
      <c r="G67" s="18">
        <f t="shared" si="0"/>
        <v>36000</v>
      </c>
      <c r="H67" s="21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3" x14ac:dyDescent="0.15">
      <c r="B68" s="9">
        <v>46077</v>
      </c>
      <c r="C68" s="10"/>
      <c r="D68" s="10" t="s">
        <v>163</v>
      </c>
      <c r="E68" s="11">
        <v>10</v>
      </c>
      <c r="F68" s="12">
        <v>3500000</v>
      </c>
      <c r="G68" s="8">
        <f t="shared" si="0"/>
        <v>35000000</v>
      </c>
      <c r="H68" s="10"/>
    </row>
    <row r="69" spans="1:26" ht="13" x14ac:dyDescent="0.15">
      <c r="B69" s="9">
        <v>46079</v>
      </c>
      <c r="C69" s="10" t="s">
        <v>167</v>
      </c>
      <c r="D69" s="10" t="s">
        <v>168</v>
      </c>
      <c r="E69" s="11">
        <v>200</v>
      </c>
      <c r="F69" s="12">
        <v>60000</v>
      </c>
      <c r="G69" s="8">
        <f t="shared" si="0"/>
        <v>12000000</v>
      </c>
      <c r="H69" s="10"/>
    </row>
    <row r="70" spans="1:26" ht="13" x14ac:dyDescent="0.15">
      <c r="B70" s="9">
        <v>46080</v>
      </c>
      <c r="C70" s="10" t="s">
        <v>63</v>
      </c>
      <c r="D70" s="10" t="s">
        <v>171</v>
      </c>
      <c r="E70" s="11">
        <v>4</v>
      </c>
      <c r="F70" s="12">
        <v>1365000</v>
      </c>
      <c r="G70" s="8">
        <f t="shared" si="0"/>
        <v>5460000</v>
      </c>
      <c r="H70" s="10"/>
    </row>
    <row r="71" spans="1:26" ht="13" x14ac:dyDescent="0.15">
      <c r="B71" s="9">
        <v>46080</v>
      </c>
      <c r="C71" s="10"/>
      <c r="D71" s="10" t="s">
        <v>175</v>
      </c>
      <c r="E71" s="11">
        <v>1</v>
      </c>
      <c r="F71" s="12">
        <v>1000000</v>
      </c>
      <c r="G71" s="8">
        <f t="shared" si="0"/>
        <v>1000000</v>
      </c>
      <c r="H71" s="10"/>
    </row>
    <row r="72" spans="1:26" ht="13" x14ac:dyDescent="0.15">
      <c r="B72" s="9">
        <v>46080</v>
      </c>
      <c r="C72" s="10" t="s">
        <v>98</v>
      </c>
      <c r="D72" s="10" t="s">
        <v>176</v>
      </c>
      <c r="E72" s="11">
        <v>1</v>
      </c>
      <c r="F72" s="12">
        <v>110000</v>
      </c>
      <c r="G72" s="8">
        <f t="shared" si="0"/>
        <v>110000</v>
      </c>
      <c r="H72" s="10"/>
    </row>
    <row r="73" spans="1:26" ht="13" x14ac:dyDescent="0.15">
      <c r="B73" s="9"/>
      <c r="C73" s="10"/>
      <c r="D73" s="10" t="s">
        <v>178</v>
      </c>
      <c r="E73" s="11">
        <v>1</v>
      </c>
      <c r="F73" s="12">
        <v>190000</v>
      </c>
      <c r="G73" s="8">
        <f t="shared" si="0"/>
        <v>190000</v>
      </c>
      <c r="H73" s="10"/>
    </row>
    <row r="74" spans="1:26" ht="13" x14ac:dyDescent="0.15">
      <c r="B74" s="9">
        <v>46081</v>
      </c>
      <c r="C74" s="10" t="s">
        <v>145</v>
      </c>
      <c r="D74" s="10" t="s">
        <v>181</v>
      </c>
      <c r="E74" s="11">
        <v>1</v>
      </c>
      <c r="F74" s="12">
        <v>3607500</v>
      </c>
      <c r="G74" s="8">
        <f t="shared" si="0"/>
        <v>3607500</v>
      </c>
      <c r="H74" s="10"/>
    </row>
    <row r="75" spans="1:26" ht="13" x14ac:dyDescent="0.15">
      <c r="B75" s="9">
        <v>46081</v>
      </c>
      <c r="C75" s="10" t="s">
        <v>45</v>
      </c>
      <c r="D75" s="10" t="s">
        <v>115</v>
      </c>
      <c r="E75" s="11">
        <v>45.16</v>
      </c>
      <c r="F75" s="12">
        <v>13500</v>
      </c>
      <c r="G75" s="8">
        <f t="shared" si="0"/>
        <v>609660</v>
      </c>
      <c r="H75" s="10"/>
    </row>
    <row r="76" spans="1:26" ht="13" x14ac:dyDescent="0.15">
      <c r="B76" s="9"/>
      <c r="C76" s="10"/>
      <c r="D76" s="10"/>
      <c r="E76" s="11"/>
      <c r="F76" s="12"/>
      <c r="G76" s="8">
        <f t="shared" si="0"/>
        <v>0</v>
      </c>
      <c r="H76" s="10"/>
    </row>
    <row r="77" spans="1:26" ht="13" x14ac:dyDescent="0.15">
      <c r="B77" s="9"/>
      <c r="C77" s="10"/>
      <c r="D77" s="10"/>
      <c r="E77" s="11"/>
      <c r="F77" s="12"/>
      <c r="G77" s="8">
        <f t="shared" si="0"/>
        <v>0</v>
      </c>
      <c r="H77" s="10"/>
    </row>
    <row r="78" spans="1:26" ht="13" x14ac:dyDescent="0.15">
      <c r="B78" s="9"/>
      <c r="C78" s="10"/>
      <c r="D78" s="10"/>
      <c r="E78" s="11"/>
      <c r="F78" s="12"/>
      <c r="G78" s="8">
        <f t="shared" si="0"/>
        <v>0</v>
      </c>
      <c r="H78" s="10"/>
    </row>
    <row r="79" spans="1:26" ht="13" x14ac:dyDescent="0.15">
      <c r="B79" s="9"/>
      <c r="C79" s="10"/>
      <c r="D79" s="10"/>
      <c r="E79" s="11"/>
      <c r="F79" s="12"/>
      <c r="G79" s="8">
        <f t="shared" si="0"/>
        <v>0</v>
      </c>
      <c r="H79" s="10"/>
    </row>
    <row r="80" spans="1:26" ht="13" x14ac:dyDescent="0.15">
      <c r="B80" s="9"/>
      <c r="C80" s="10"/>
      <c r="D80" s="10"/>
      <c r="E80" s="11"/>
      <c r="F80" s="12"/>
      <c r="G80" s="8">
        <f t="shared" si="0"/>
        <v>0</v>
      </c>
      <c r="H80" s="10"/>
    </row>
    <row r="81" spans="2:8" ht="13" x14ac:dyDescent="0.15">
      <c r="B81" s="9"/>
      <c r="C81" s="10"/>
      <c r="D81" s="10"/>
      <c r="E81" s="11"/>
      <c r="F81" s="12"/>
      <c r="G81" s="8">
        <f t="shared" si="0"/>
        <v>0</v>
      </c>
      <c r="H81" s="10"/>
    </row>
    <row r="82" spans="2:8" ht="13" x14ac:dyDescent="0.15">
      <c r="B82" s="9"/>
      <c r="C82" s="10"/>
      <c r="D82" s="10"/>
      <c r="E82" s="11"/>
      <c r="F82" s="12"/>
      <c r="G82" s="8">
        <f t="shared" si="0"/>
        <v>0</v>
      </c>
      <c r="H82" s="10"/>
    </row>
    <row r="83" spans="2:8" ht="13" x14ac:dyDescent="0.15">
      <c r="B83" s="9"/>
      <c r="C83" s="10" t="s">
        <v>119</v>
      </c>
      <c r="D83" s="10" t="s">
        <v>186</v>
      </c>
      <c r="E83" s="11">
        <v>3</v>
      </c>
      <c r="F83" s="12">
        <v>175000</v>
      </c>
      <c r="G83" s="8">
        <f t="shared" si="0"/>
        <v>525000</v>
      </c>
      <c r="H83" s="10"/>
    </row>
    <row r="84" spans="2:8" ht="13" x14ac:dyDescent="0.15">
      <c r="B84" s="9"/>
      <c r="C84" s="10" t="s">
        <v>119</v>
      </c>
      <c r="D84" s="10" t="s">
        <v>187</v>
      </c>
      <c r="E84" s="11">
        <v>4</v>
      </c>
      <c r="F84" s="12">
        <v>3550000</v>
      </c>
      <c r="G84" s="8">
        <f t="shared" si="0"/>
        <v>14200000</v>
      </c>
      <c r="H84" s="10"/>
    </row>
    <row r="85" spans="2:8" ht="13" x14ac:dyDescent="0.15">
      <c r="B85" s="13"/>
      <c r="C85" s="14"/>
      <c r="D85" s="14"/>
      <c r="E85" s="15"/>
      <c r="F85" s="16"/>
      <c r="G85" s="17"/>
      <c r="H85" s="14"/>
    </row>
    <row r="86" spans="2:8" ht="35.25" customHeight="1" x14ac:dyDescent="0.15">
      <c r="B86" s="26" t="s">
        <v>42</v>
      </c>
      <c r="C86" s="27"/>
      <c r="D86" s="27"/>
      <c r="E86" s="27"/>
      <c r="F86" s="28"/>
      <c r="G86" s="29">
        <f>SUM(G4:G84)</f>
        <v>115164665</v>
      </c>
      <c r="H86" s="28"/>
    </row>
  </sheetData>
  <mergeCells count="2">
    <mergeCell ref="B86:F86"/>
    <mergeCell ref="G86:H8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99"/>
  <sheetViews>
    <sheetView workbookViewId="0"/>
  </sheetViews>
  <sheetFormatPr baseColWidth="10" defaultColWidth="12.6640625" defaultRowHeight="15.75" customHeight="1" x14ac:dyDescent="0.15"/>
  <cols>
    <col min="3" max="3" width="25.6640625" customWidth="1"/>
    <col min="4" max="4" width="38.33203125" customWidth="1"/>
    <col min="6" max="6" width="25.5" customWidth="1"/>
    <col min="7" max="7" width="25.33203125" customWidth="1"/>
    <col min="8" max="8" width="35.6640625" customWidth="1"/>
  </cols>
  <sheetData>
    <row r="1" spans="1:8" ht="13" x14ac:dyDescent="0.15">
      <c r="A1" s="4" t="s">
        <v>7</v>
      </c>
    </row>
    <row r="3" spans="1:8" ht="42.75" customHeight="1" x14ac:dyDescent="0.1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 ht="13" x14ac:dyDescent="0.15">
      <c r="B4" s="2"/>
      <c r="C4" s="3"/>
      <c r="D4" s="3"/>
      <c r="E4" s="5"/>
      <c r="F4" s="6"/>
      <c r="G4" s="7"/>
      <c r="H4" s="3"/>
    </row>
    <row r="5" spans="1:8" ht="13" x14ac:dyDescent="0.15">
      <c r="B5" s="2">
        <v>46083</v>
      </c>
      <c r="C5" s="3"/>
      <c r="D5" s="3" t="s">
        <v>52</v>
      </c>
      <c r="E5" s="5">
        <v>2</v>
      </c>
      <c r="F5" s="6">
        <v>1000000</v>
      </c>
      <c r="G5" s="8">
        <f t="shared" ref="G5:G62" si="0">E5*F5</f>
        <v>2000000</v>
      </c>
      <c r="H5" s="3"/>
    </row>
    <row r="6" spans="1:8" ht="13" x14ac:dyDescent="0.15">
      <c r="B6" s="2">
        <v>46084</v>
      </c>
      <c r="C6" s="3" t="s">
        <v>55</v>
      </c>
      <c r="D6" s="3" t="s">
        <v>56</v>
      </c>
      <c r="E6" s="5">
        <v>2</v>
      </c>
      <c r="F6" s="6">
        <v>1500000</v>
      </c>
      <c r="G6" s="8">
        <f t="shared" si="0"/>
        <v>3000000</v>
      </c>
      <c r="H6" s="3"/>
    </row>
    <row r="7" spans="1:8" ht="13" x14ac:dyDescent="0.15">
      <c r="B7" s="2">
        <v>46084</v>
      </c>
      <c r="C7" s="3" t="s">
        <v>57</v>
      </c>
      <c r="D7" s="3" t="s">
        <v>58</v>
      </c>
      <c r="E7" s="5">
        <v>1</v>
      </c>
      <c r="F7" s="6">
        <v>203000</v>
      </c>
      <c r="G7" s="8">
        <f t="shared" si="0"/>
        <v>203000</v>
      </c>
      <c r="H7" s="3"/>
    </row>
    <row r="8" spans="1:8" ht="13" x14ac:dyDescent="0.15">
      <c r="B8" s="2">
        <v>46085</v>
      </c>
      <c r="C8" s="3" t="s">
        <v>60</v>
      </c>
      <c r="D8" s="3" t="s">
        <v>61</v>
      </c>
      <c r="E8" s="5">
        <v>40</v>
      </c>
      <c r="F8" s="6">
        <v>350000</v>
      </c>
      <c r="G8" s="8">
        <f t="shared" si="0"/>
        <v>14000000</v>
      </c>
      <c r="H8" s="3"/>
    </row>
    <row r="9" spans="1:8" ht="13" x14ac:dyDescent="0.15">
      <c r="B9" s="2">
        <v>46086</v>
      </c>
      <c r="C9" s="3" t="s">
        <v>63</v>
      </c>
      <c r="D9" s="3" t="s">
        <v>64</v>
      </c>
      <c r="E9" s="5">
        <v>8</v>
      </c>
      <c r="F9" s="6">
        <v>45000</v>
      </c>
      <c r="G9" s="8">
        <f t="shared" si="0"/>
        <v>360000</v>
      </c>
      <c r="H9" s="3"/>
    </row>
    <row r="10" spans="1:8" ht="13" x14ac:dyDescent="0.15">
      <c r="B10" s="2"/>
      <c r="C10" s="3"/>
      <c r="D10" s="3" t="s">
        <v>65</v>
      </c>
      <c r="E10" s="5">
        <v>2</v>
      </c>
      <c r="F10" s="6">
        <v>35000</v>
      </c>
      <c r="G10" s="8">
        <f t="shared" si="0"/>
        <v>70000</v>
      </c>
      <c r="H10" s="3"/>
    </row>
    <row r="11" spans="1:8" ht="13" x14ac:dyDescent="0.15">
      <c r="B11" s="2">
        <v>46086</v>
      </c>
      <c r="C11" s="3" t="s">
        <v>22</v>
      </c>
      <c r="D11" s="3" t="s">
        <v>48</v>
      </c>
      <c r="E11" s="5">
        <v>20</v>
      </c>
      <c r="F11" s="6">
        <v>119000</v>
      </c>
      <c r="G11" s="18">
        <f t="shared" si="0"/>
        <v>2380000</v>
      </c>
      <c r="H11" s="3"/>
    </row>
    <row r="12" spans="1:8" ht="13" x14ac:dyDescent="0.15">
      <c r="B12" s="2"/>
      <c r="C12" s="3"/>
      <c r="D12" s="3" t="s">
        <v>67</v>
      </c>
      <c r="E12" s="5">
        <v>10</v>
      </c>
      <c r="F12" s="6">
        <v>28000</v>
      </c>
      <c r="G12" s="18">
        <f t="shared" si="0"/>
        <v>280000</v>
      </c>
      <c r="H12" s="3"/>
    </row>
    <row r="13" spans="1:8" ht="13" x14ac:dyDescent="0.15">
      <c r="B13" s="2">
        <v>46087</v>
      </c>
      <c r="C13" s="3" t="s">
        <v>22</v>
      </c>
      <c r="D13" s="3" t="s">
        <v>68</v>
      </c>
      <c r="E13" s="5">
        <v>3</v>
      </c>
      <c r="F13" s="6">
        <v>45000</v>
      </c>
      <c r="G13" s="18">
        <f t="shared" si="0"/>
        <v>135000</v>
      </c>
      <c r="H13" s="3"/>
    </row>
    <row r="14" spans="1:8" ht="13" x14ac:dyDescent="0.15">
      <c r="B14" s="2"/>
      <c r="C14" s="3"/>
      <c r="D14" s="3" t="s">
        <v>69</v>
      </c>
      <c r="E14" s="5">
        <v>1</v>
      </c>
      <c r="F14" s="6">
        <v>50000</v>
      </c>
      <c r="G14" s="18">
        <f t="shared" si="0"/>
        <v>50000</v>
      </c>
      <c r="H14" s="3"/>
    </row>
    <row r="15" spans="1:8" ht="13" x14ac:dyDescent="0.15">
      <c r="B15" s="2"/>
      <c r="C15" s="3"/>
      <c r="D15" s="3" t="s">
        <v>35</v>
      </c>
      <c r="E15" s="5">
        <v>2</v>
      </c>
      <c r="F15" s="6">
        <v>20000</v>
      </c>
      <c r="G15" s="18">
        <f t="shared" si="0"/>
        <v>40000</v>
      </c>
      <c r="H15" s="3"/>
    </row>
    <row r="16" spans="1:8" ht="13" x14ac:dyDescent="0.15">
      <c r="B16" s="2">
        <v>46088</v>
      </c>
      <c r="C16" s="3" t="s">
        <v>22</v>
      </c>
      <c r="D16" s="3" t="s">
        <v>16</v>
      </c>
      <c r="E16" s="5">
        <v>20</v>
      </c>
      <c r="F16" s="6">
        <v>61000</v>
      </c>
      <c r="G16" s="18">
        <f t="shared" si="0"/>
        <v>1220000</v>
      </c>
      <c r="H16" s="3"/>
    </row>
    <row r="17" spans="2:8" ht="13" x14ac:dyDescent="0.15">
      <c r="B17" s="2">
        <v>46091</v>
      </c>
      <c r="C17" s="3" t="s">
        <v>63</v>
      </c>
      <c r="D17" s="3" t="s">
        <v>70</v>
      </c>
      <c r="E17" s="5">
        <v>1</v>
      </c>
      <c r="F17" s="6">
        <v>2925000</v>
      </c>
      <c r="G17" s="8">
        <f t="shared" si="0"/>
        <v>2925000</v>
      </c>
      <c r="H17" s="3"/>
    </row>
    <row r="18" spans="2:8" ht="13" x14ac:dyDescent="0.15">
      <c r="B18" s="2">
        <v>46091</v>
      </c>
      <c r="C18" s="3" t="s">
        <v>14</v>
      </c>
      <c r="D18" s="3" t="s">
        <v>15</v>
      </c>
      <c r="E18" s="5">
        <v>1</v>
      </c>
      <c r="F18" s="6">
        <v>2400000</v>
      </c>
      <c r="G18" s="8">
        <f t="shared" si="0"/>
        <v>2400000</v>
      </c>
      <c r="H18" s="3"/>
    </row>
    <row r="19" spans="2:8" ht="13" x14ac:dyDescent="0.15">
      <c r="B19" s="2">
        <v>46091</v>
      </c>
      <c r="C19" s="3" t="s">
        <v>14</v>
      </c>
      <c r="D19" s="3" t="s">
        <v>71</v>
      </c>
      <c r="E19" s="5">
        <v>1</v>
      </c>
      <c r="F19" s="6">
        <v>2800000</v>
      </c>
      <c r="G19" s="8">
        <f t="shared" si="0"/>
        <v>2800000</v>
      </c>
      <c r="H19" s="3"/>
    </row>
    <row r="20" spans="2:8" ht="13" x14ac:dyDescent="0.15">
      <c r="B20" s="2">
        <v>46091</v>
      </c>
      <c r="C20" s="3" t="s">
        <v>72</v>
      </c>
      <c r="D20" s="3" t="s">
        <v>73</v>
      </c>
      <c r="E20" s="5">
        <v>3</v>
      </c>
      <c r="F20" s="6">
        <v>650000</v>
      </c>
      <c r="G20" s="8">
        <f t="shared" si="0"/>
        <v>1950000</v>
      </c>
      <c r="H20" s="3"/>
    </row>
    <row r="21" spans="2:8" ht="13" x14ac:dyDescent="0.15">
      <c r="B21" s="2">
        <v>46092</v>
      </c>
      <c r="C21" s="3"/>
      <c r="D21" s="3" t="s">
        <v>74</v>
      </c>
      <c r="E21" s="5">
        <v>2</v>
      </c>
      <c r="F21" s="6">
        <v>2500000</v>
      </c>
      <c r="G21" s="8">
        <f t="shared" si="0"/>
        <v>5000000</v>
      </c>
      <c r="H21" s="3"/>
    </row>
    <row r="22" spans="2:8" ht="13" x14ac:dyDescent="0.15">
      <c r="B22" s="2">
        <v>46092</v>
      </c>
      <c r="C22" s="3" t="s">
        <v>22</v>
      </c>
      <c r="D22" s="3" t="s">
        <v>75</v>
      </c>
      <c r="E22" s="5">
        <v>8</v>
      </c>
      <c r="F22" s="6">
        <v>32000</v>
      </c>
      <c r="G22" s="8">
        <f t="shared" si="0"/>
        <v>256000</v>
      </c>
      <c r="H22" s="3"/>
    </row>
    <row r="23" spans="2:8" ht="13" x14ac:dyDescent="0.15">
      <c r="B23" s="2"/>
      <c r="C23" s="3"/>
      <c r="D23" s="3" t="s">
        <v>76</v>
      </c>
      <c r="E23" s="5">
        <v>2</v>
      </c>
      <c r="F23" s="6">
        <v>4000</v>
      </c>
      <c r="G23" s="8">
        <f t="shared" si="0"/>
        <v>8000</v>
      </c>
      <c r="H23" s="3"/>
    </row>
    <row r="24" spans="2:8" ht="13" x14ac:dyDescent="0.15">
      <c r="B24" s="2"/>
      <c r="C24" s="3"/>
      <c r="D24" s="3" t="s">
        <v>77</v>
      </c>
      <c r="E24" s="5">
        <v>1</v>
      </c>
      <c r="F24" s="6">
        <v>10000</v>
      </c>
      <c r="G24" s="8">
        <f t="shared" si="0"/>
        <v>10000</v>
      </c>
      <c r="H24" s="3"/>
    </row>
    <row r="25" spans="2:8" ht="13" x14ac:dyDescent="0.15">
      <c r="B25" s="2">
        <v>46093</v>
      </c>
      <c r="C25" s="3"/>
      <c r="D25" s="3" t="s">
        <v>78</v>
      </c>
      <c r="E25" s="5">
        <v>1</v>
      </c>
      <c r="F25" s="6">
        <v>400000</v>
      </c>
      <c r="G25" s="8">
        <f t="shared" si="0"/>
        <v>400000</v>
      </c>
      <c r="H25" s="3"/>
    </row>
    <row r="26" spans="2:8" ht="13" x14ac:dyDescent="0.15">
      <c r="B26" s="2">
        <v>46095</v>
      </c>
      <c r="C26" s="3" t="s">
        <v>79</v>
      </c>
      <c r="D26" s="3" t="s">
        <v>80</v>
      </c>
      <c r="E26" s="5">
        <v>2</v>
      </c>
      <c r="F26" s="6">
        <v>275000</v>
      </c>
      <c r="G26" s="8">
        <f t="shared" si="0"/>
        <v>550000</v>
      </c>
      <c r="H26" s="3"/>
    </row>
    <row r="27" spans="2:8" ht="13" x14ac:dyDescent="0.15">
      <c r="B27" s="2"/>
      <c r="C27" s="3"/>
      <c r="D27" s="3" t="s">
        <v>81</v>
      </c>
      <c r="E27" s="5">
        <v>2</v>
      </c>
      <c r="F27" s="6">
        <v>145000</v>
      </c>
      <c r="G27" s="8">
        <f t="shared" si="0"/>
        <v>290000</v>
      </c>
      <c r="H27" s="3"/>
    </row>
    <row r="28" spans="2:8" ht="13" x14ac:dyDescent="0.15">
      <c r="B28" s="2">
        <v>46095</v>
      </c>
      <c r="C28" s="3" t="s">
        <v>82</v>
      </c>
      <c r="D28" s="3" t="s">
        <v>83</v>
      </c>
      <c r="E28" s="5">
        <v>1</v>
      </c>
      <c r="F28" s="6">
        <v>250000</v>
      </c>
      <c r="G28" s="8">
        <f t="shared" si="0"/>
        <v>250000</v>
      </c>
      <c r="H28" s="3"/>
    </row>
    <row r="29" spans="2:8" ht="13" x14ac:dyDescent="0.15">
      <c r="B29" s="2"/>
      <c r="C29" s="3"/>
      <c r="D29" s="3" t="s">
        <v>84</v>
      </c>
      <c r="E29" s="5">
        <v>1</v>
      </c>
      <c r="F29" s="6">
        <v>350000</v>
      </c>
      <c r="G29" s="8">
        <f t="shared" si="0"/>
        <v>350000</v>
      </c>
      <c r="H29" s="3"/>
    </row>
    <row r="30" spans="2:8" ht="13" x14ac:dyDescent="0.15">
      <c r="B30" s="2">
        <v>46095</v>
      </c>
      <c r="C30" s="3" t="s">
        <v>85</v>
      </c>
      <c r="D30" s="3" t="s">
        <v>86</v>
      </c>
      <c r="E30" s="5">
        <v>1</v>
      </c>
      <c r="F30" s="6">
        <v>179500</v>
      </c>
      <c r="G30" s="8">
        <f t="shared" si="0"/>
        <v>179500</v>
      </c>
      <c r="H30" s="3"/>
    </row>
    <row r="31" spans="2:8" ht="13" x14ac:dyDescent="0.15">
      <c r="B31" s="2">
        <v>46095</v>
      </c>
      <c r="C31" s="3" t="s">
        <v>87</v>
      </c>
      <c r="D31" s="3" t="s">
        <v>88</v>
      </c>
      <c r="E31" s="5">
        <v>1</v>
      </c>
      <c r="F31" s="6">
        <v>1500000</v>
      </c>
      <c r="G31" s="8">
        <f t="shared" si="0"/>
        <v>1500000</v>
      </c>
      <c r="H31" s="3"/>
    </row>
    <row r="32" spans="2:8" ht="13" x14ac:dyDescent="0.15">
      <c r="B32" s="2">
        <v>46095</v>
      </c>
      <c r="C32" s="3" t="s">
        <v>22</v>
      </c>
      <c r="D32" s="3" t="s">
        <v>11</v>
      </c>
      <c r="E32" s="5">
        <v>3</v>
      </c>
      <c r="F32" s="6">
        <v>20000</v>
      </c>
      <c r="G32" s="8">
        <f t="shared" si="0"/>
        <v>60000</v>
      </c>
      <c r="H32" s="3"/>
    </row>
    <row r="33" spans="2:8" ht="13" x14ac:dyDescent="0.15">
      <c r="B33" s="2">
        <v>46097</v>
      </c>
      <c r="C33" s="3" t="s">
        <v>91</v>
      </c>
      <c r="D33" s="3" t="s">
        <v>92</v>
      </c>
      <c r="E33" s="5">
        <v>1</v>
      </c>
      <c r="F33" s="6">
        <v>11000000</v>
      </c>
      <c r="G33" s="8">
        <f t="shared" si="0"/>
        <v>11000000</v>
      </c>
      <c r="H33" s="3"/>
    </row>
    <row r="34" spans="2:8" ht="13" x14ac:dyDescent="0.15">
      <c r="B34" s="2">
        <v>46097</v>
      </c>
      <c r="C34" s="3" t="s">
        <v>22</v>
      </c>
      <c r="D34" s="3" t="s">
        <v>35</v>
      </c>
      <c r="E34" s="5">
        <v>2</v>
      </c>
      <c r="F34" s="6">
        <v>730000</v>
      </c>
      <c r="G34" s="8">
        <f t="shared" si="0"/>
        <v>1460000</v>
      </c>
      <c r="H34" s="3"/>
    </row>
    <row r="35" spans="2:8" ht="13" x14ac:dyDescent="0.15">
      <c r="B35" s="2"/>
      <c r="C35" s="3"/>
      <c r="D35" s="3" t="s">
        <v>93</v>
      </c>
      <c r="E35" s="5">
        <v>1</v>
      </c>
      <c r="F35" s="6">
        <v>25000</v>
      </c>
      <c r="G35" s="8">
        <f t="shared" si="0"/>
        <v>25000</v>
      </c>
      <c r="H35" s="3"/>
    </row>
    <row r="36" spans="2:8" ht="13" x14ac:dyDescent="0.15">
      <c r="B36" s="2">
        <v>46098</v>
      </c>
      <c r="C36" s="3" t="s">
        <v>22</v>
      </c>
      <c r="D36" s="3" t="s">
        <v>35</v>
      </c>
      <c r="E36" s="5">
        <v>2</v>
      </c>
      <c r="F36" s="6">
        <v>730000</v>
      </c>
      <c r="G36" s="8">
        <f t="shared" si="0"/>
        <v>1460000</v>
      </c>
      <c r="H36" s="3"/>
    </row>
    <row r="37" spans="2:8" ht="13" x14ac:dyDescent="0.15">
      <c r="B37" s="9"/>
      <c r="C37" s="10"/>
      <c r="D37" s="10"/>
      <c r="E37" s="11"/>
      <c r="F37" s="12"/>
      <c r="G37" s="8">
        <f t="shared" si="0"/>
        <v>0</v>
      </c>
      <c r="H37" s="10"/>
    </row>
    <row r="38" spans="2:8" ht="13" x14ac:dyDescent="0.15">
      <c r="B38" s="9"/>
      <c r="C38" s="10"/>
      <c r="D38" s="10"/>
      <c r="E38" s="11"/>
      <c r="F38" s="12"/>
      <c r="G38" s="8">
        <f t="shared" si="0"/>
        <v>0</v>
      </c>
      <c r="H38" s="10"/>
    </row>
    <row r="39" spans="2:8" ht="13" x14ac:dyDescent="0.15">
      <c r="B39" s="9"/>
      <c r="C39" s="10"/>
      <c r="D39" s="10"/>
      <c r="E39" s="11"/>
      <c r="F39" s="12"/>
      <c r="G39" s="8">
        <f t="shared" si="0"/>
        <v>0</v>
      </c>
      <c r="H39" s="10"/>
    </row>
    <row r="40" spans="2:8" ht="13" x14ac:dyDescent="0.15">
      <c r="B40" s="9"/>
      <c r="C40" s="10"/>
      <c r="D40" s="10"/>
      <c r="E40" s="11"/>
      <c r="F40" s="12"/>
      <c r="G40" s="8">
        <f t="shared" si="0"/>
        <v>0</v>
      </c>
      <c r="H40" s="10"/>
    </row>
    <row r="41" spans="2:8" ht="13" x14ac:dyDescent="0.15">
      <c r="B41" s="9"/>
      <c r="C41" s="10"/>
      <c r="D41" s="10"/>
      <c r="E41" s="11"/>
      <c r="F41" s="12"/>
      <c r="G41" s="8">
        <f t="shared" si="0"/>
        <v>0</v>
      </c>
      <c r="H41" s="10"/>
    </row>
    <row r="42" spans="2:8" ht="13" x14ac:dyDescent="0.15">
      <c r="B42" s="9"/>
      <c r="C42" s="10"/>
      <c r="D42" s="10"/>
      <c r="E42" s="11"/>
      <c r="F42" s="12"/>
      <c r="G42" s="8">
        <f t="shared" si="0"/>
        <v>0</v>
      </c>
      <c r="H42" s="10"/>
    </row>
    <row r="43" spans="2:8" ht="13" x14ac:dyDescent="0.15">
      <c r="B43" s="9"/>
      <c r="C43" s="10"/>
      <c r="D43" s="10"/>
      <c r="E43" s="11"/>
      <c r="F43" s="12"/>
      <c r="G43" s="8">
        <f t="shared" si="0"/>
        <v>0</v>
      </c>
      <c r="H43" s="10"/>
    </row>
    <row r="44" spans="2:8" ht="13" x14ac:dyDescent="0.15">
      <c r="B44" s="9"/>
      <c r="C44" s="10"/>
      <c r="D44" s="10"/>
      <c r="E44" s="11"/>
      <c r="F44" s="12"/>
      <c r="G44" s="8">
        <f t="shared" si="0"/>
        <v>0</v>
      </c>
      <c r="H44" s="10"/>
    </row>
    <row r="45" spans="2:8" ht="13" x14ac:dyDescent="0.15">
      <c r="B45" s="9"/>
      <c r="C45" s="10"/>
      <c r="D45" s="10"/>
      <c r="E45" s="11"/>
      <c r="F45" s="12"/>
      <c r="G45" s="8">
        <f t="shared" si="0"/>
        <v>0</v>
      </c>
      <c r="H45" s="10"/>
    </row>
    <row r="46" spans="2:8" ht="13" x14ac:dyDescent="0.15">
      <c r="B46" s="9"/>
      <c r="C46" s="10"/>
      <c r="D46" s="10"/>
      <c r="E46" s="11"/>
      <c r="F46" s="12"/>
      <c r="G46" s="8">
        <f t="shared" si="0"/>
        <v>0</v>
      </c>
      <c r="H46" s="10"/>
    </row>
    <row r="47" spans="2:8" ht="13" x14ac:dyDescent="0.15">
      <c r="B47" s="9"/>
      <c r="C47" s="10"/>
      <c r="D47" s="10"/>
      <c r="E47" s="11"/>
      <c r="F47" s="12"/>
      <c r="G47" s="8">
        <f t="shared" si="0"/>
        <v>0</v>
      </c>
      <c r="H47" s="10"/>
    </row>
    <row r="48" spans="2:8" ht="13" x14ac:dyDescent="0.15">
      <c r="B48" s="9"/>
      <c r="C48" s="10"/>
      <c r="D48" s="10"/>
      <c r="E48" s="11"/>
      <c r="F48" s="12"/>
      <c r="G48" s="8">
        <f t="shared" si="0"/>
        <v>0</v>
      </c>
      <c r="H48" s="10"/>
    </row>
    <row r="49" spans="2:8" ht="13" x14ac:dyDescent="0.15">
      <c r="B49" s="9"/>
      <c r="C49" s="10"/>
      <c r="D49" s="10"/>
      <c r="E49" s="11"/>
      <c r="F49" s="12"/>
      <c r="G49" s="8">
        <f t="shared" si="0"/>
        <v>0</v>
      </c>
      <c r="H49" s="10"/>
    </row>
    <row r="50" spans="2:8" ht="13" x14ac:dyDescent="0.15">
      <c r="B50" s="9"/>
      <c r="C50" s="10"/>
      <c r="D50" s="10"/>
      <c r="E50" s="11"/>
      <c r="F50" s="12"/>
      <c r="G50" s="8">
        <f t="shared" si="0"/>
        <v>0</v>
      </c>
      <c r="H50" s="10"/>
    </row>
    <row r="51" spans="2:8" ht="13" x14ac:dyDescent="0.15">
      <c r="B51" s="9"/>
      <c r="C51" s="10"/>
      <c r="D51" s="10"/>
      <c r="E51" s="11"/>
      <c r="F51" s="12"/>
      <c r="G51" s="8">
        <f t="shared" si="0"/>
        <v>0</v>
      </c>
      <c r="H51" s="10"/>
    </row>
    <row r="52" spans="2:8" ht="13" x14ac:dyDescent="0.15">
      <c r="B52" s="9"/>
      <c r="C52" s="10"/>
      <c r="D52" s="10"/>
      <c r="E52" s="11"/>
      <c r="F52" s="12"/>
      <c r="G52" s="8">
        <f t="shared" si="0"/>
        <v>0</v>
      </c>
      <c r="H52" s="10"/>
    </row>
    <row r="53" spans="2:8" ht="13" x14ac:dyDescent="0.15">
      <c r="B53" s="9"/>
      <c r="C53" s="10"/>
      <c r="D53" s="10"/>
      <c r="E53" s="11"/>
      <c r="F53" s="12"/>
      <c r="G53" s="8">
        <f t="shared" si="0"/>
        <v>0</v>
      </c>
      <c r="H53" s="10"/>
    </row>
    <row r="54" spans="2:8" ht="13" x14ac:dyDescent="0.15">
      <c r="B54" s="9"/>
      <c r="C54" s="10"/>
      <c r="D54" s="10"/>
      <c r="E54" s="11"/>
      <c r="F54" s="12"/>
      <c r="G54" s="8">
        <f t="shared" si="0"/>
        <v>0</v>
      </c>
      <c r="H54" s="10"/>
    </row>
    <row r="55" spans="2:8" ht="13" x14ac:dyDescent="0.15">
      <c r="B55" s="9"/>
      <c r="C55" s="10"/>
      <c r="D55" s="10"/>
      <c r="E55" s="11"/>
      <c r="F55" s="12"/>
      <c r="G55" s="8">
        <f t="shared" si="0"/>
        <v>0</v>
      </c>
      <c r="H55" s="10"/>
    </row>
    <row r="56" spans="2:8" ht="13" x14ac:dyDescent="0.15">
      <c r="B56" s="9"/>
      <c r="C56" s="10"/>
      <c r="D56" s="10"/>
      <c r="E56" s="11"/>
      <c r="F56" s="12"/>
      <c r="G56" s="8">
        <f t="shared" si="0"/>
        <v>0</v>
      </c>
      <c r="H56" s="10"/>
    </row>
    <row r="57" spans="2:8" ht="13" x14ac:dyDescent="0.15">
      <c r="B57" s="9"/>
      <c r="C57" s="10"/>
      <c r="D57" s="10"/>
      <c r="E57" s="11"/>
      <c r="F57" s="12"/>
      <c r="G57" s="8">
        <f t="shared" si="0"/>
        <v>0</v>
      </c>
      <c r="H57" s="10"/>
    </row>
    <row r="58" spans="2:8" ht="13" x14ac:dyDescent="0.15">
      <c r="B58" s="9"/>
      <c r="C58" s="10"/>
      <c r="D58" s="10"/>
      <c r="E58" s="11"/>
      <c r="F58" s="12"/>
      <c r="G58" s="8">
        <f t="shared" si="0"/>
        <v>0</v>
      </c>
      <c r="H58" s="10"/>
    </row>
    <row r="59" spans="2:8" ht="13" x14ac:dyDescent="0.15">
      <c r="B59" s="9"/>
      <c r="C59" s="10"/>
      <c r="D59" s="10"/>
      <c r="E59" s="11"/>
      <c r="F59" s="12"/>
      <c r="G59" s="8">
        <f t="shared" si="0"/>
        <v>0</v>
      </c>
      <c r="H59" s="10"/>
    </row>
    <row r="60" spans="2:8" ht="13" x14ac:dyDescent="0.15">
      <c r="B60" s="9"/>
      <c r="C60" s="10"/>
      <c r="D60" s="10"/>
      <c r="E60" s="11"/>
      <c r="F60" s="12"/>
      <c r="G60" s="8">
        <f t="shared" si="0"/>
        <v>0</v>
      </c>
      <c r="H60" s="10"/>
    </row>
    <row r="61" spans="2:8" ht="13" x14ac:dyDescent="0.15">
      <c r="B61" s="9">
        <v>46102</v>
      </c>
      <c r="C61" s="10" t="s">
        <v>126</v>
      </c>
      <c r="D61" s="10" t="s">
        <v>127</v>
      </c>
      <c r="E61" s="11"/>
      <c r="F61" s="12"/>
      <c r="G61" s="8">
        <f t="shared" si="0"/>
        <v>0</v>
      </c>
      <c r="H61" s="10"/>
    </row>
    <row r="62" spans="2:8" ht="13" x14ac:dyDescent="0.15">
      <c r="B62" s="9"/>
      <c r="C62" s="10"/>
      <c r="D62" s="10" t="s">
        <v>129</v>
      </c>
      <c r="E62" s="11"/>
      <c r="F62" s="12"/>
      <c r="G62" s="8">
        <f t="shared" si="0"/>
        <v>0</v>
      </c>
      <c r="H62" s="10"/>
    </row>
    <row r="63" spans="2:8" ht="13" x14ac:dyDescent="0.15">
      <c r="B63" s="9"/>
      <c r="C63" s="10"/>
      <c r="D63" s="10" t="s">
        <v>130</v>
      </c>
      <c r="E63" s="11"/>
      <c r="F63" s="12"/>
      <c r="G63" s="8">
        <v>4000000</v>
      </c>
      <c r="H63" s="10"/>
    </row>
    <row r="64" spans="2:8" ht="13" x14ac:dyDescent="0.15">
      <c r="B64" s="9">
        <v>46102</v>
      </c>
      <c r="C64" s="10" t="s">
        <v>134</v>
      </c>
      <c r="D64" s="10" t="s">
        <v>135</v>
      </c>
      <c r="E64" s="11">
        <v>1</v>
      </c>
      <c r="F64" s="12">
        <v>7000000</v>
      </c>
      <c r="G64" s="8">
        <f t="shared" ref="G64:G76" si="1">E64*F64</f>
        <v>7000000</v>
      </c>
      <c r="H64" s="10"/>
    </row>
    <row r="65" spans="2:8" ht="13" x14ac:dyDescent="0.15">
      <c r="B65" s="9"/>
      <c r="C65" s="10"/>
      <c r="D65" s="10" t="s">
        <v>140</v>
      </c>
      <c r="E65" s="11">
        <v>1</v>
      </c>
      <c r="F65" s="12">
        <v>1550000</v>
      </c>
      <c r="G65" s="18">
        <f t="shared" si="1"/>
        <v>1550000</v>
      </c>
      <c r="H65" s="10"/>
    </row>
    <row r="66" spans="2:8" ht="13" x14ac:dyDescent="0.15">
      <c r="B66" s="9"/>
      <c r="C66" s="10"/>
      <c r="D66" s="10" t="s">
        <v>142</v>
      </c>
      <c r="E66" s="11">
        <v>1</v>
      </c>
      <c r="F66" s="12">
        <v>2500000</v>
      </c>
      <c r="G66" s="18">
        <f t="shared" si="1"/>
        <v>2500000</v>
      </c>
      <c r="H66" s="10"/>
    </row>
    <row r="67" spans="2:8" ht="13" x14ac:dyDescent="0.15">
      <c r="B67" s="9">
        <v>46103</v>
      </c>
      <c r="C67" s="10" t="s">
        <v>22</v>
      </c>
      <c r="D67" s="10" t="s">
        <v>16</v>
      </c>
      <c r="E67" s="11">
        <v>20</v>
      </c>
      <c r="F67" s="12">
        <v>61500</v>
      </c>
      <c r="G67" s="8">
        <f t="shared" si="1"/>
        <v>1230000</v>
      </c>
      <c r="H67" s="10"/>
    </row>
    <row r="68" spans="2:8" ht="13" x14ac:dyDescent="0.15">
      <c r="B68" s="9"/>
      <c r="C68" s="10"/>
      <c r="D68" s="10" t="s">
        <v>148</v>
      </c>
      <c r="E68" s="11">
        <v>8</v>
      </c>
      <c r="F68" s="12">
        <v>28000</v>
      </c>
      <c r="G68" s="8">
        <f t="shared" si="1"/>
        <v>224000</v>
      </c>
      <c r="H68" s="10"/>
    </row>
    <row r="69" spans="2:8" ht="13" x14ac:dyDescent="0.15">
      <c r="B69" s="9">
        <v>46106</v>
      </c>
      <c r="C69" s="10" t="s">
        <v>45</v>
      </c>
      <c r="D69" s="10" t="s">
        <v>115</v>
      </c>
      <c r="E69" s="11">
        <v>42.75</v>
      </c>
      <c r="F69" s="12">
        <v>14500</v>
      </c>
      <c r="G69" s="18">
        <f t="shared" si="1"/>
        <v>619875</v>
      </c>
      <c r="H69" s="10"/>
    </row>
    <row r="70" spans="2:8" ht="13" x14ac:dyDescent="0.15">
      <c r="B70" s="9">
        <v>46106</v>
      </c>
      <c r="C70" s="10" t="s">
        <v>63</v>
      </c>
      <c r="D70" s="10" t="s">
        <v>151</v>
      </c>
      <c r="E70" s="11">
        <v>6</v>
      </c>
      <c r="F70" s="12">
        <v>35000</v>
      </c>
      <c r="G70" s="18">
        <f t="shared" si="1"/>
        <v>210000</v>
      </c>
      <c r="H70" s="10"/>
    </row>
    <row r="71" spans="2:8" ht="13" x14ac:dyDescent="0.15">
      <c r="B71" s="9"/>
      <c r="C71" s="10"/>
      <c r="D71" s="10" t="s">
        <v>152</v>
      </c>
      <c r="E71" s="11">
        <v>5</v>
      </c>
      <c r="F71" s="12">
        <v>70000</v>
      </c>
      <c r="G71" s="18">
        <f t="shared" si="1"/>
        <v>350000</v>
      </c>
      <c r="H71" s="10"/>
    </row>
    <row r="72" spans="2:8" ht="13" x14ac:dyDescent="0.15">
      <c r="B72" s="9">
        <v>46106</v>
      </c>
      <c r="C72" s="10" t="s">
        <v>47</v>
      </c>
      <c r="D72" s="10" t="s">
        <v>154</v>
      </c>
      <c r="E72" s="11">
        <v>1</v>
      </c>
      <c r="F72" s="12">
        <v>10000000</v>
      </c>
      <c r="G72" s="18">
        <f t="shared" si="1"/>
        <v>10000000</v>
      </c>
      <c r="H72" s="10"/>
    </row>
    <row r="73" spans="2:8" ht="13" x14ac:dyDescent="0.15">
      <c r="B73" s="9"/>
      <c r="C73" s="10"/>
      <c r="D73" s="10" t="s">
        <v>155</v>
      </c>
      <c r="E73" s="11">
        <v>1</v>
      </c>
      <c r="F73" s="12">
        <v>5000000</v>
      </c>
      <c r="G73" s="18">
        <f t="shared" si="1"/>
        <v>5000000</v>
      </c>
      <c r="H73" s="10"/>
    </row>
    <row r="74" spans="2:8" ht="13" x14ac:dyDescent="0.15">
      <c r="B74" s="9"/>
      <c r="C74" s="10"/>
      <c r="D74" s="10" t="s">
        <v>155</v>
      </c>
      <c r="E74" s="11">
        <v>1</v>
      </c>
      <c r="F74" s="12">
        <v>4000000</v>
      </c>
      <c r="G74" s="18">
        <f t="shared" si="1"/>
        <v>4000000</v>
      </c>
      <c r="H74" s="10"/>
    </row>
    <row r="75" spans="2:8" ht="13" x14ac:dyDescent="0.15">
      <c r="B75" s="9">
        <v>46108</v>
      </c>
      <c r="C75" s="10" t="s">
        <v>14</v>
      </c>
      <c r="D75" s="10" t="s">
        <v>15</v>
      </c>
      <c r="E75" s="11">
        <v>1</v>
      </c>
      <c r="F75" s="12">
        <v>2400000</v>
      </c>
      <c r="G75" s="8">
        <f t="shared" si="1"/>
        <v>2400000</v>
      </c>
      <c r="H75" s="10"/>
    </row>
    <row r="76" spans="2:8" ht="13" x14ac:dyDescent="0.15">
      <c r="B76" s="9">
        <v>46110</v>
      </c>
      <c r="C76" s="10" t="s">
        <v>22</v>
      </c>
      <c r="D76" s="10" t="s">
        <v>21</v>
      </c>
      <c r="E76" s="11">
        <v>4</v>
      </c>
      <c r="F76" s="12">
        <v>74000</v>
      </c>
      <c r="G76" s="8">
        <f t="shared" si="1"/>
        <v>296000</v>
      </c>
      <c r="H76" s="10"/>
    </row>
    <row r="77" spans="2:8" ht="13" x14ac:dyDescent="0.15">
      <c r="B77" s="9"/>
      <c r="C77" s="10"/>
      <c r="D77" s="10" t="s">
        <v>24</v>
      </c>
      <c r="E77" s="11">
        <v>52</v>
      </c>
      <c r="F77" s="12">
        <v>28000</v>
      </c>
      <c r="G77" s="8">
        <v>1400000</v>
      </c>
      <c r="H77" s="10"/>
    </row>
    <row r="78" spans="2:8" ht="13" x14ac:dyDescent="0.15">
      <c r="B78" s="9"/>
      <c r="C78" s="10"/>
      <c r="D78" s="10" t="s">
        <v>158</v>
      </c>
      <c r="E78" s="11">
        <v>2</v>
      </c>
      <c r="F78" s="12">
        <v>30000</v>
      </c>
      <c r="G78" s="8">
        <f t="shared" ref="G78:G97" si="2">E78*F78</f>
        <v>60000</v>
      </c>
      <c r="H78" s="10"/>
    </row>
    <row r="79" spans="2:8" ht="13" x14ac:dyDescent="0.15">
      <c r="B79" s="9">
        <v>46112</v>
      </c>
      <c r="C79" s="10" t="s">
        <v>22</v>
      </c>
      <c r="D79" s="10" t="s">
        <v>38</v>
      </c>
      <c r="E79" s="11">
        <v>500</v>
      </c>
      <c r="F79" s="12">
        <v>3000</v>
      </c>
      <c r="G79" s="8">
        <f t="shared" si="2"/>
        <v>1500000</v>
      </c>
      <c r="H79" s="10"/>
    </row>
    <row r="80" spans="2:8" ht="13" x14ac:dyDescent="0.15">
      <c r="B80" s="9">
        <v>46112</v>
      </c>
      <c r="C80" s="10" t="s">
        <v>22</v>
      </c>
      <c r="D80" s="10" t="s">
        <v>16</v>
      </c>
      <c r="E80" s="11">
        <v>20</v>
      </c>
      <c r="F80" s="12">
        <v>61000</v>
      </c>
      <c r="G80" s="8">
        <f t="shared" si="2"/>
        <v>1220000</v>
      </c>
      <c r="H80" s="10"/>
    </row>
    <row r="81" spans="2:8" ht="13" x14ac:dyDescent="0.15">
      <c r="B81" s="9"/>
      <c r="C81" s="10"/>
      <c r="D81" s="10" t="s">
        <v>41</v>
      </c>
      <c r="E81" s="11">
        <v>1</v>
      </c>
      <c r="F81" s="12">
        <v>65000</v>
      </c>
      <c r="G81" s="8">
        <f t="shared" si="2"/>
        <v>65000</v>
      </c>
      <c r="H81" s="10"/>
    </row>
    <row r="82" spans="2:8" ht="13" x14ac:dyDescent="0.15">
      <c r="B82" s="9"/>
      <c r="C82" s="10"/>
      <c r="D82" s="10"/>
      <c r="E82" s="11"/>
      <c r="F82" s="12"/>
      <c r="G82" s="8">
        <f t="shared" si="2"/>
        <v>0</v>
      </c>
      <c r="H82" s="10"/>
    </row>
    <row r="83" spans="2:8" ht="13" x14ac:dyDescent="0.15">
      <c r="B83" s="9"/>
      <c r="C83" s="10"/>
      <c r="D83" s="10"/>
      <c r="E83" s="11"/>
      <c r="F83" s="12"/>
      <c r="G83" s="8">
        <f t="shared" si="2"/>
        <v>0</v>
      </c>
      <c r="H83" s="10"/>
    </row>
    <row r="84" spans="2:8" ht="13" x14ac:dyDescent="0.15">
      <c r="B84" s="9"/>
      <c r="C84" s="10"/>
      <c r="D84" s="10"/>
      <c r="E84" s="11"/>
      <c r="F84" s="12"/>
      <c r="G84" s="8">
        <f t="shared" si="2"/>
        <v>0</v>
      </c>
      <c r="H84" s="10"/>
    </row>
    <row r="85" spans="2:8" ht="13" x14ac:dyDescent="0.15">
      <c r="B85" s="9"/>
      <c r="C85" s="10" t="s">
        <v>165</v>
      </c>
      <c r="D85" s="10" t="s">
        <v>166</v>
      </c>
      <c r="E85" s="11">
        <v>1</v>
      </c>
      <c r="F85" s="12">
        <v>20000</v>
      </c>
      <c r="G85" s="8">
        <f t="shared" si="2"/>
        <v>20000</v>
      </c>
      <c r="H85" s="10"/>
    </row>
    <row r="86" spans="2:8" ht="13" x14ac:dyDescent="0.15">
      <c r="B86" s="9"/>
      <c r="C86" s="10"/>
      <c r="D86" s="10" t="s">
        <v>170</v>
      </c>
      <c r="E86" s="11">
        <v>3</v>
      </c>
      <c r="F86" s="12">
        <v>35000</v>
      </c>
      <c r="G86" s="8">
        <f t="shared" si="2"/>
        <v>105000</v>
      </c>
      <c r="H86" s="10"/>
    </row>
    <row r="87" spans="2:8" ht="13" x14ac:dyDescent="0.15">
      <c r="B87" s="9"/>
      <c r="C87" s="10"/>
      <c r="D87" s="10" t="s">
        <v>172</v>
      </c>
      <c r="E87" s="11">
        <v>1</v>
      </c>
      <c r="F87" s="12">
        <v>6000</v>
      </c>
      <c r="G87" s="8">
        <f t="shared" si="2"/>
        <v>6000</v>
      </c>
      <c r="H87" s="10"/>
    </row>
    <row r="88" spans="2:8" ht="13" x14ac:dyDescent="0.15">
      <c r="B88" s="9"/>
      <c r="C88" s="10"/>
      <c r="D88" s="10" t="s">
        <v>174</v>
      </c>
      <c r="E88" s="11">
        <v>1</v>
      </c>
      <c r="F88" s="12">
        <v>15000</v>
      </c>
      <c r="G88" s="8">
        <f t="shared" si="2"/>
        <v>15000</v>
      </c>
      <c r="H88" s="10"/>
    </row>
    <row r="89" spans="2:8" ht="13" x14ac:dyDescent="0.15">
      <c r="B89" s="9"/>
      <c r="C89" s="10"/>
      <c r="D89" s="10" t="s">
        <v>177</v>
      </c>
      <c r="E89" s="11">
        <v>1</v>
      </c>
      <c r="F89" s="12">
        <v>115000</v>
      </c>
      <c r="G89" s="8">
        <f t="shared" si="2"/>
        <v>115000</v>
      </c>
      <c r="H89" s="10"/>
    </row>
    <row r="90" spans="2:8" ht="13" x14ac:dyDescent="0.15">
      <c r="B90" s="9"/>
      <c r="C90" s="10"/>
      <c r="D90" s="10"/>
      <c r="E90" s="11"/>
      <c r="F90" s="12"/>
      <c r="G90" s="8">
        <f t="shared" si="2"/>
        <v>0</v>
      </c>
      <c r="H90" s="10"/>
    </row>
    <row r="91" spans="2:8" ht="13" x14ac:dyDescent="0.15">
      <c r="B91" s="9"/>
      <c r="C91" s="10"/>
      <c r="D91" s="10" t="s">
        <v>180</v>
      </c>
      <c r="E91" s="11">
        <v>1</v>
      </c>
      <c r="F91" s="12">
        <v>1000000</v>
      </c>
      <c r="G91" s="8">
        <f t="shared" si="2"/>
        <v>1000000</v>
      </c>
      <c r="H91" s="10"/>
    </row>
    <row r="92" spans="2:8" ht="13" x14ac:dyDescent="0.15">
      <c r="B92" s="9"/>
      <c r="C92" s="10"/>
      <c r="D92" s="10"/>
      <c r="E92" s="11"/>
      <c r="F92" s="12"/>
      <c r="G92" s="8">
        <f t="shared" si="2"/>
        <v>0</v>
      </c>
      <c r="H92" s="10"/>
    </row>
    <row r="93" spans="2:8" ht="13" x14ac:dyDescent="0.15">
      <c r="B93" s="9"/>
      <c r="C93" s="10"/>
      <c r="D93" s="10" t="s">
        <v>183</v>
      </c>
      <c r="E93" s="11">
        <v>1</v>
      </c>
      <c r="F93" s="12">
        <v>200000</v>
      </c>
      <c r="G93" s="8">
        <f t="shared" si="2"/>
        <v>200000</v>
      </c>
      <c r="H93" s="10"/>
    </row>
    <row r="94" spans="2:8" ht="13" x14ac:dyDescent="0.15">
      <c r="B94" s="9"/>
      <c r="C94" s="10"/>
      <c r="D94" s="10"/>
      <c r="E94" s="11"/>
      <c r="F94" s="12"/>
      <c r="G94" s="8">
        <f t="shared" si="2"/>
        <v>0</v>
      </c>
      <c r="H94" s="10"/>
    </row>
    <row r="95" spans="2:8" ht="13" x14ac:dyDescent="0.15">
      <c r="B95" s="9"/>
      <c r="C95" s="10"/>
      <c r="D95" s="10" t="s">
        <v>54</v>
      </c>
      <c r="E95" s="11">
        <v>1</v>
      </c>
      <c r="F95" s="12">
        <v>600000</v>
      </c>
      <c r="G95" s="8">
        <f t="shared" si="2"/>
        <v>600000</v>
      </c>
      <c r="H95" s="10"/>
    </row>
    <row r="96" spans="2:8" ht="13" x14ac:dyDescent="0.15">
      <c r="B96" s="13"/>
      <c r="C96" s="14"/>
      <c r="D96" s="14"/>
      <c r="E96" s="15"/>
      <c r="F96" s="16"/>
      <c r="G96" s="8">
        <f t="shared" si="2"/>
        <v>0</v>
      </c>
      <c r="H96" s="14"/>
    </row>
    <row r="97" spans="2:8" ht="13" x14ac:dyDescent="0.15">
      <c r="B97" s="13"/>
      <c r="C97" s="14"/>
      <c r="D97" s="14" t="s">
        <v>185</v>
      </c>
      <c r="E97" s="15">
        <v>1</v>
      </c>
      <c r="F97" s="16">
        <v>800000</v>
      </c>
      <c r="G97" s="8">
        <f t="shared" si="2"/>
        <v>800000</v>
      </c>
      <c r="H97" s="14"/>
    </row>
    <row r="98" spans="2:8" ht="13" x14ac:dyDescent="0.15">
      <c r="B98" s="13"/>
      <c r="C98" s="14"/>
      <c r="D98" s="14"/>
      <c r="E98" s="15"/>
      <c r="F98" s="16"/>
      <c r="G98" s="17"/>
      <c r="H98" s="14"/>
    </row>
    <row r="99" spans="2:8" ht="35.25" customHeight="1" x14ac:dyDescent="0.15">
      <c r="B99" s="26" t="s">
        <v>42</v>
      </c>
      <c r="C99" s="27"/>
      <c r="D99" s="27"/>
      <c r="E99" s="27"/>
      <c r="F99" s="28"/>
      <c r="G99" s="29">
        <f>SUM(G4:G95)</f>
        <v>102297375</v>
      </c>
      <c r="H99" s="28"/>
    </row>
  </sheetData>
  <mergeCells count="2">
    <mergeCell ref="B99:F99"/>
    <mergeCell ref="G99:H9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46"/>
  <sheetViews>
    <sheetView workbookViewId="0"/>
  </sheetViews>
  <sheetFormatPr baseColWidth="10" defaultColWidth="12.6640625" defaultRowHeight="15.75" customHeight="1" x14ac:dyDescent="0.15"/>
  <cols>
    <col min="3" max="3" width="25.6640625" customWidth="1"/>
    <col min="4" max="4" width="38.33203125" customWidth="1"/>
    <col min="6" max="6" width="25.5" customWidth="1"/>
    <col min="7" max="7" width="25.33203125" customWidth="1"/>
    <col min="8" max="8" width="35.6640625" customWidth="1"/>
  </cols>
  <sheetData>
    <row r="1" spans="1:8" ht="13" x14ac:dyDescent="0.15">
      <c r="A1" s="4" t="s">
        <v>7</v>
      </c>
    </row>
    <row r="3" spans="1:8" ht="42.75" customHeight="1" x14ac:dyDescent="0.1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 ht="13" x14ac:dyDescent="0.15">
      <c r="B4" s="2"/>
      <c r="C4" s="3"/>
      <c r="D4" s="3"/>
      <c r="E4" s="5"/>
      <c r="F4" s="6"/>
      <c r="G4" s="7"/>
      <c r="H4" s="3"/>
    </row>
    <row r="5" spans="1:8" ht="13" x14ac:dyDescent="0.15">
      <c r="B5" s="2">
        <v>46114</v>
      </c>
      <c r="C5" s="3" t="s">
        <v>8</v>
      </c>
      <c r="D5" s="3" t="s">
        <v>10</v>
      </c>
      <c r="E5" s="5">
        <v>2</v>
      </c>
      <c r="F5" s="6">
        <v>100000</v>
      </c>
      <c r="G5" s="8">
        <f t="shared" ref="G5:G55" si="0">E5*F5</f>
        <v>200000</v>
      </c>
      <c r="H5" s="3"/>
    </row>
    <row r="6" spans="1:8" ht="13" x14ac:dyDescent="0.15">
      <c r="B6" s="2"/>
      <c r="C6" s="3"/>
      <c r="D6" s="3" t="s">
        <v>25</v>
      </c>
      <c r="E6" s="5">
        <v>1</v>
      </c>
      <c r="F6" s="6">
        <v>100000</v>
      </c>
      <c r="G6" s="8">
        <f t="shared" si="0"/>
        <v>100000</v>
      </c>
      <c r="H6" s="3"/>
    </row>
    <row r="7" spans="1:8" ht="13" x14ac:dyDescent="0.15">
      <c r="B7" s="2"/>
      <c r="C7" s="3"/>
      <c r="D7" s="3" t="s">
        <v>89</v>
      </c>
      <c r="E7" s="5">
        <v>1</v>
      </c>
      <c r="F7" s="6">
        <v>15000</v>
      </c>
      <c r="G7" s="8">
        <f t="shared" si="0"/>
        <v>15000</v>
      </c>
      <c r="H7" s="3"/>
    </row>
    <row r="8" spans="1:8" ht="13" x14ac:dyDescent="0.15">
      <c r="B8" s="2"/>
      <c r="C8" s="3"/>
      <c r="D8" s="3" t="s">
        <v>90</v>
      </c>
      <c r="E8" s="5">
        <v>1</v>
      </c>
      <c r="F8" s="6">
        <v>30000</v>
      </c>
      <c r="G8" s="8">
        <f t="shared" si="0"/>
        <v>30000</v>
      </c>
      <c r="H8" s="3"/>
    </row>
    <row r="9" spans="1:8" ht="13" x14ac:dyDescent="0.15">
      <c r="B9" s="2">
        <v>46115</v>
      </c>
      <c r="C9" s="3"/>
      <c r="D9" s="3" t="s">
        <v>30</v>
      </c>
      <c r="E9" s="5">
        <v>3</v>
      </c>
      <c r="F9" s="6">
        <v>20000</v>
      </c>
      <c r="G9" s="8">
        <f t="shared" si="0"/>
        <v>60000</v>
      </c>
      <c r="H9" s="3"/>
    </row>
    <row r="10" spans="1:8" ht="13" x14ac:dyDescent="0.15">
      <c r="B10" s="2"/>
      <c r="C10" s="3"/>
      <c r="D10" s="3" t="s">
        <v>11</v>
      </c>
      <c r="E10" s="5">
        <v>2</v>
      </c>
      <c r="F10" s="6">
        <v>22000</v>
      </c>
      <c r="G10" s="8">
        <f t="shared" si="0"/>
        <v>44000</v>
      </c>
      <c r="H10" s="3"/>
    </row>
    <row r="11" spans="1:8" ht="13" x14ac:dyDescent="0.15">
      <c r="B11" s="2"/>
      <c r="C11" s="3"/>
      <c r="D11" s="3" t="s">
        <v>28</v>
      </c>
      <c r="E11" s="5">
        <v>1</v>
      </c>
      <c r="F11" s="6">
        <v>45000</v>
      </c>
      <c r="G11" s="8">
        <f t="shared" si="0"/>
        <v>45000</v>
      </c>
      <c r="H11" s="3"/>
    </row>
    <row r="12" spans="1:8" ht="13" x14ac:dyDescent="0.15">
      <c r="B12" s="2">
        <v>46115</v>
      </c>
      <c r="C12" s="3" t="s">
        <v>94</v>
      </c>
      <c r="D12" s="3" t="s">
        <v>95</v>
      </c>
      <c r="E12" s="5">
        <v>1</v>
      </c>
      <c r="F12" s="6">
        <v>3550000</v>
      </c>
      <c r="G12" s="8">
        <f t="shared" si="0"/>
        <v>3550000</v>
      </c>
      <c r="H12" s="3"/>
    </row>
    <row r="13" spans="1:8" ht="13" x14ac:dyDescent="0.15">
      <c r="B13" s="2">
        <v>46116</v>
      </c>
      <c r="C13" s="3" t="s">
        <v>97</v>
      </c>
      <c r="D13" s="3" t="s">
        <v>99</v>
      </c>
      <c r="E13" s="5">
        <v>1</v>
      </c>
      <c r="F13" s="6">
        <v>1575000</v>
      </c>
      <c r="G13" s="8">
        <f t="shared" si="0"/>
        <v>1575000</v>
      </c>
      <c r="H13" s="3"/>
    </row>
    <row r="14" spans="1:8" ht="13" x14ac:dyDescent="0.15">
      <c r="B14" s="2"/>
      <c r="C14" s="3"/>
      <c r="D14" s="3" t="s">
        <v>31</v>
      </c>
      <c r="E14" s="5">
        <v>1</v>
      </c>
      <c r="F14" s="6">
        <v>150000</v>
      </c>
      <c r="G14" s="8">
        <f t="shared" si="0"/>
        <v>150000</v>
      </c>
      <c r="H14" s="3"/>
    </row>
    <row r="15" spans="1:8" ht="13" x14ac:dyDescent="0.15">
      <c r="B15" s="2">
        <v>46116</v>
      </c>
      <c r="C15" s="3" t="s">
        <v>8</v>
      </c>
      <c r="D15" s="3" t="s">
        <v>103</v>
      </c>
      <c r="E15" s="5">
        <v>1</v>
      </c>
      <c r="F15" s="6">
        <v>10000</v>
      </c>
      <c r="G15" s="18">
        <f t="shared" si="0"/>
        <v>10000</v>
      </c>
      <c r="H15" s="3"/>
    </row>
    <row r="16" spans="1:8" ht="13" x14ac:dyDescent="0.15">
      <c r="B16" s="2">
        <v>46116</v>
      </c>
      <c r="C16" s="3" t="s">
        <v>8</v>
      </c>
      <c r="D16" s="3" t="s">
        <v>105</v>
      </c>
      <c r="E16" s="5">
        <v>2</v>
      </c>
      <c r="F16" s="6">
        <v>65000</v>
      </c>
      <c r="G16" s="18">
        <f t="shared" si="0"/>
        <v>130000</v>
      </c>
      <c r="H16" s="3"/>
    </row>
    <row r="17" spans="2:8" ht="13" x14ac:dyDescent="0.15">
      <c r="B17" s="2"/>
      <c r="C17" s="3"/>
      <c r="D17" s="3" t="s">
        <v>13</v>
      </c>
      <c r="E17" s="5">
        <v>30</v>
      </c>
      <c r="F17" s="6">
        <v>10000</v>
      </c>
      <c r="G17" s="18">
        <f t="shared" si="0"/>
        <v>300000</v>
      </c>
      <c r="H17" s="3"/>
    </row>
    <row r="18" spans="2:8" ht="13" x14ac:dyDescent="0.15">
      <c r="B18" s="2"/>
      <c r="C18" s="3"/>
      <c r="D18" s="3" t="s">
        <v>24</v>
      </c>
      <c r="E18" s="5">
        <v>1</v>
      </c>
      <c r="F18" s="6">
        <v>1450000</v>
      </c>
      <c r="G18" s="18">
        <f t="shared" si="0"/>
        <v>1450000</v>
      </c>
      <c r="H18" s="3"/>
    </row>
    <row r="19" spans="2:8" ht="13" x14ac:dyDescent="0.15">
      <c r="B19" s="2"/>
      <c r="C19" s="3"/>
      <c r="D19" s="3" t="s">
        <v>108</v>
      </c>
      <c r="E19" s="5">
        <v>1</v>
      </c>
      <c r="F19" s="6">
        <v>25000</v>
      </c>
      <c r="G19" s="18">
        <f t="shared" si="0"/>
        <v>25000</v>
      </c>
      <c r="H19" s="3"/>
    </row>
    <row r="20" spans="2:8" ht="13" x14ac:dyDescent="0.15">
      <c r="B20" s="2"/>
      <c r="C20" s="3"/>
      <c r="D20" s="3" t="s">
        <v>21</v>
      </c>
      <c r="E20" s="5">
        <v>1</v>
      </c>
      <c r="F20" s="6">
        <v>75000</v>
      </c>
      <c r="G20" s="18">
        <f t="shared" si="0"/>
        <v>75000</v>
      </c>
      <c r="H20" s="3"/>
    </row>
    <row r="21" spans="2:8" ht="13" x14ac:dyDescent="0.15">
      <c r="B21" s="2">
        <v>46118</v>
      </c>
      <c r="C21" s="3" t="s">
        <v>8</v>
      </c>
      <c r="D21" s="3" t="s">
        <v>66</v>
      </c>
      <c r="E21" s="5">
        <v>1</v>
      </c>
      <c r="F21" s="6">
        <v>335000</v>
      </c>
      <c r="G21" s="18">
        <f t="shared" si="0"/>
        <v>335000</v>
      </c>
      <c r="H21" s="3"/>
    </row>
    <row r="22" spans="2:8" ht="13" x14ac:dyDescent="0.15">
      <c r="B22" s="2"/>
      <c r="C22" s="3"/>
      <c r="D22" s="3" t="s">
        <v>114</v>
      </c>
      <c r="E22" s="5">
        <v>1</v>
      </c>
      <c r="F22" s="6">
        <v>10000</v>
      </c>
      <c r="G22" s="18">
        <f t="shared" si="0"/>
        <v>10000</v>
      </c>
      <c r="H22" s="3"/>
    </row>
    <row r="23" spans="2:8" ht="13" x14ac:dyDescent="0.15">
      <c r="B23" s="2"/>
      <c r="C23" s="3"/>
      <c r="D23" s="3" t="s">
        <v>117</v>
      </c>
      <c r="E23" s="5">
        <v>1</v>
      </c>
      <c r="F23" s="6">
        <v>22000</v>
      </c>
      <c r="G23" s="18">
        <f t="shared" si="0"/>
        <v>22000</v>
      </c>
      <c r="H23" s="3"/>
    </row>
    <row r="24" spans="2:8" ht="13" x14ac:dyDescent="0.15">
      <c r="B24" s="2"/>
      <c r="C24" s="3"/>
      <c r="D24" s="3" t="s">
        <v>121</v>
      </c>
      <c r="E24" s="5">
        <v>2</v>
      </c>
      <c r="F24" s="6">
        <v>16000</v>
      </c>
      <c r="G24" s="18">
        <f t="shared" si="0"/>
        <v>32000</v>
      </c>
      <c r="H24" s="3"/>
    </row>
    <row r="25" spans="2:8" ht="13" x14ac:dyDescent="0.15">
      <c r="B25" s="2"/>
      <c r="C25" s="3"/>
      <c r="D25" s="3" t="s">
        <v>124</v>
      </c>
      <c r="E25" s="5">
        <v>1</v>
      </c>
      <c r="F25" s="6">
        <v>65000</v>
      </c>
      <c r="G25" s="18">
        <f t="shared" si="0"/>
        <v>65000</v>
      </c>
      <c r="H25" s="3"/>
    </row>
    <row r="26" spans="2:8" ht="13" x14ac:dyDescent="0.15">
      <c r="B26" s="2"/>
      <c r="C26" s="3"/>
      <c r="D26" s="3" t="s">
        <v>125</v>
      </c>
      <c r="E26" s="5">
        <v>1</v>
      </c>
      <c r="F26" s="6">
        <v>40000</v>
      </c>
      <c r="G26" s="18">
        <f t="shared" si="0"/>
        <v>40000</v>
      </c>
      <c r="H26" s="3"/>
    </row>
    <row r="27" spans="2:8" ht="13" x14ac:dyDescent="0.15">
      <c r="B27" s="2">
        <v>46119</v>
      </c>
      <c r="C27" s="3" t="s">
        <v>8</v>
      </c>
      <c r="D27" s="3" t="s">
        <v>66</v>
      </c>
      <c r="E27" s="5">
        <v>2</v>
      </c>
      <c r="F27" s="6">
        <v>65000</v>
      </c>
      <c r="G27" s="18">
        <f t="shared" si="0"/>
        <v>130000</v>
      </c>
      <c r="H27" s="3"/>
    </row>
    <row r="28" spans="2:8" ht="13" x14ac:dyDescent="0.15">
      <c r="B28" s="2">
        <v>46119</v>
      </c>
      <c r="C28" s="3" t="s">
        <v>8</v>
      </c>
      <c r="D28" s="3" t="s">
        <v>132</v>
      </c>
      <c r="E28" s="5">
        <v>1</v>
      </c>
      <c r="F28" s="6">
        <v>355000</v>
      </c>
      <c r="G28" s="8">
        <f t="shared" si="0"/>
        <v>355000</v>
      </c>
      <c r="H28" s="3"/>
    </row>
    <row r="29" spans="2:8" ht="13" x14ac:dyDescent="0.15">
      <c r="B29" s="2"/>
      <c r="C29" s="3"/>
      <c r="D29" s="3" t="s">
        <v>137</v>
      </c>
      <c r="E29" s="5">
        <v>1</v>
      </c>
      <c r="F29" s="6">
        <v>130000</v>
      </c>
      <c r="G29" s="8">
        <f t="shared" si="0"/>
        <v>130000</v>
      </c>
      <c r="H29" s="3"/>
    </row>
    <row r="30" spans="2:8" ht="13" x14ac:dyDescent="0.15">
      <c r="B30" s="2">
        <v>46122</v>
      </c>
      <c r="C30" s="3" t="s">
        <v>141</v>
      </c>
      <c r="D30" s="3" t="s">
        <v>11</v>
      </c>
      <c r="E30" s="5">
        <v>3</v>
      </c>
      <c r="F30" s="6">
        <v>20000</v>
      </c>
      <c r="G30" s="8">
        <f t="shared" si="0"/>
        <v>60000</v>
      </c>
      <c r="H30" s="3"/>
    </row>
    <row r="31" spans="2:8" ht="13" x14ac:dyDescent="0.15">
      <c r="B31" s="2"/>
      <c r="C31" s="3"/>
      <c r="D31" s="3" t="s">
        <v>144</v>
      </c>
      <c r="E31" s="5">
        <v>2</v>
      </c>
      <c r="F31" s="6">
        <v>20000</v>
      </c>
      <c r="G31" s="8">
        <f t="shared" si="0"/>
        <v>40000</v>
      </c>
      <c r="H31" s="3"/>
    </row>
    <row r="32" spans="2:8" ht="13" x14ac:dyDescent="0.15">
      <c r="B32" s="2">
        <v>46122</v>
      </c>
      <c r="C32" s="3" t="s">
        <v>8</v>
      </c>
      <c r="D32" s="3" t="s">
        <v>48</v>
      </c>
      <c r="E32" s="5">
        <v>30</v>
      </c>
      <c r="F32" s="6">
        <v>122000</v>
      </c>
      <c r="G32" s="8">
        <f t="shared" si="0"/>
        <v>3660000</v>
      </c>
      <c r="H32" s="3"/>
    </row>
    <row r="33" spans="2:8" ht="13" x14ac:dyDescent="0.15">
      <c r="B33" s="2"/>
      <c r="C33" s="3"/>
      <c r="D33" s="3" t="s">
        <v>150</v>
      </c>
      <c r="E33" s="5">
        <v>20</v>
      </c>
      <c r="F33" s="6">
        <v>40000</v>
      </c>
      <c r="G33" s="8">
        <f t="shared" si="0"/>
        <v>800000</v>
      </c>
      <c r="H33" s="3"/>
    </row>
    <row r="34" spans="2:8" ht="13" x14ac:dyDescent="0.15">
      <c r="B34" s="2"/>
      <c r="C34" s="3"/>
      <c r="D34" s="3" t="s">
        <v>11</v>
      </c>
      <c r="E34" s="5">
        <v>1</v>
      </c>
      <c r="F34" s="6">
        <v>20000</v>
      </c>
      <c r="G34" s="8">
        <f t="shared" si="0"/>
        <v>20000</v>
      </c>
      <c r="H34" s="3"/>
    </row>
    <row r="35" spans="2:8" ht="13" x14ac:dyDescent="0.15">
      <c r="B35" s="2">
        <v>46123</v>
      </c>
      <c r="C35" s="3" t="s">
        <v>14</v>
      </c>
      <c r="D35" s="3" t="s">
        <v>71</v>
      </c>
      <c r="E35" s="5">
        <v>1</v>
      </c>
      <c r="F35" s="6">
        <v>2800000</v>
      </c>
      <c r="G35" s="8">
        <f t="shared" si="0"/>
        <v>2800000</v>
      </c>
      <c r="H35" s="3"/>
    </row>
    <row r="36" spans="2:8" ht="13" x14ac:dyDescent="0.15">
      <c r="B36" s="2">
        <v>46123</v>
      </c>
      <c r="C36" s="3" t="s">
        <v>156</v>
      </c>
      <c r="D36" s="3" t="s">
        <v>157</v>
      </c>
      <c r="E36" s="5">
        <v>9</v>
      </c>
      <c r="F36" s="6">
        <v>465000</v>
      </c>
      <c r="G36" s="8">
        <f t="shared" si="0"/>
        <v>4185000</v>
      </c>
      <c r="H36" s="3"/>
    </row>
    <row r="37" spans="2:8" ht="13" x14ac:dyDescent="0.15">
      <c r="B37" s="2">
        <v>46124</v>
      </c>
      <c r="C37" s="3" t="s">
        <v>14</v>
      </c>
      <c r="D37" s="3" t="s">
        <v>43</v>
      </c>
      <c r="E37" s="5">
        <v>1</v>
      </c>
      <c r="F37" s="6">
        <v>2500000</v>
      </c>
      <c r="G37" s="8">
        <f t="shared" si="0"/>
        <v>2500000</v>
      </c>
      <c r="H37" s="3"/>
    </row>
    <row r="38" spans="2:8" ht="13" x14ac:dyDescent="0.15">
      <c r="B38" s="2">
        <v>46124</v>
      </c>
      <c r="C38" s="3" t="s">
        <v>14</v>
      </c>
      <c r="D38" s="3" t="s">
        <v>17</v>
      </c>
      <c r="E38" s="5">
        <v>1</v>
      </c>
      <c r="F38" s="6">
        <v>2400000</v>
      </c>
      <c r="G38" s="8">
        <f t="shared" si="0"/>
        <v>2400000</v>
      </c>
      <c r="H38" s="3"/>
    </row>
    <row r="39" spans="2:8" ht="13" x14ac:dyDescent="0.15">
      <c r="B39" s="2">
        <v>46124</v>
      </c>
      <c r="C39" s="3" t="s">
        <v>8</v>
      </c>
      <c r="D39" s="3" t="s">
        <v>16</v>
      </c>
      <c r="E39" s="5">
        <v>2</v>
      </c>
      <c r="F39" s="6">
        <v>61000</v>
      </c>
      <c r="G39" s="8">
        <f t="shared" si="0"/>
        <v>122000</v>
      </c>
      <c r="H39" s="3"/>
    </row>
    <row r="40" spans="2:8" ht="13" x14ac:dyDescent="0.15">
      <c r="B40" s="2"/>
      <c r="C40" s="3"/>
      <c r="D40" s="3" t="s">
        <v>160</v>
      </c>
      <c r="E40" s="5">
        <v>10</v>
      </c>
      <c r="F40" s="6">
        <v>74000</v>
      </c>
      <c r="G40" s="8">
        <f t="shared" si="0"/>
        <v>740000</v>
      </c>
      <c r="H40" s="3"/>
    </row>
    <row r="41" spans="2:8" ht="13" x14ac:dyDescent="0.15">
      <c r="B41" s="2"/>
      <c r="C41" s="3"/>
      <c r="D41" s="3" t="s">
        <v>161</v>
      </c>
      <c r="E41" s="5">
        <v>10</v>
      </c>
      <c r="F41" s="6">
        <v>20000</v>
      </c>
      <c r="G41" s="8">
        <f t="shared" si="0"/>
        <v>200000</v>
      </c>
      <c r="H41" s="3"/>
    </row>
    <row r="42" spans="2:8" ht="13" x14ac:dyDescent="0.15">
      <c r="B42" s="2"/>
      <c r="C42" s="3"/>
      <c r="D42" s="3" t="s">
        <v>25</v>
      </c>
      <c r="E42" s="5">
        <v>5</v>
      </c>
      <c r="F42" s="6">
        <v>20000</v>
      </c>
      <c r="G42" s="8">
        <f t="shared" si="0"/>
        <v>100000</v>
      </c>
      <c r="H42" s="3"/>
    </row>
    <row r="43" spans="2:8" ht="13" x14ac:dyDescent="0.15">
      <c r="B43" s="2"/>
      <c r="C43" s="3"/>
      <c r="D43" s="3" t="s">
        <v>164</v>
      </c>
      <c r="E43" s="5">
        <v>10</v>
      </c>
      <c r="F43" s="6">
        <v>9000</v>
      </c>
      <c r="G43" s="8">
        <f t="shared" si="0"/>
        <v>90000</v>
      </c>
      <c r="H43" s="3"/>
    </row>
    <row r="44" spans="2:8" ht="13" x14ac:dyDescent="0.15">
      <c r="B44" s="2"/>
      <c r="C44" s="3"/>
      <c r="D44" s="3" t="s">
        <v>169</v>
      </c>
      <c r="E44" s="5">
        <v>1</v>
      </c>
      <c r="F44" s="6">
        <v>50000</v>
      </c>
      <c r="G44" s="8">
        <f t="shared" si="0"/>
        <v>50000</v>
      </c>
      <c r="H44" s="3"/>
    </row>
    <row r="45" spans="2:8" ht="13" x14ac:dyDescent="0.15">
      <c r="B45" s="2"/>
      <c r="C45" s="3"/>
      <c r="D45" s="3" t="s">
        <v>173</v>
      </c>
      <c r="E45" s="5">
        <v>1</v>
      </c>
      <c r="F45" s="6">
        <v>45000</v>
      </c>
      <c r="G45" s="8">
        <f t="shared" si="0"/>
        <v>45000</v>
      </c>
      <c r="H45" s="3"/>
    </row>
    <row r="46" spans="2:8" ht="13" x14ac:dyDescent="0.15">
      <c r="B46" s="2">
        <v>46126</v>
      </c>
      <c r="C46" s="3" t="s">
        <v>8</v>
      </c>
      <c r="D46" s="3" t="s">
        <v>11</v>
      </c>
      <c r="E46" s="5">
        <v>2</v>
      </c>
      <c r="F46" s="6">
        <v>20000</v>
      </c>
      <c r="G46" s="8">
        <f t="shared" si="0"/>
        <v>40000</v>
      </c>
      <c r="H46" s="3"/>
    </row>
    <row r="47" spans="2:8" ht="13" x14ac:dyDescent="0.15">
      <c r="B47" s="2"/>
      <c r="C47" s="3"/>
      <c r="D47" s="3" t="s">
        <v>179</v>
      </c>
      <c r="E47" s="5">
        <v>1</v>
      </c>
      <c r="F47" s="6">
        <v>55000</v>
      </c>
      <c r="G47" s="8">
        <f t="shared" si="0"/>
        <v>55000</v>
      </c>
      <c r="H47" s="3"/>
    </row>
    <row r="48" spans="2:8" ht="13" x14ac:dyDescent="0.15">
      <c r="B48" s="2"/>
      <c r="C48" s="3"/>
      <c r="D48" s="3" t="s">
        <v>182</v>
      </c>
      <c r="E48" s="5">
        <v>1</v>
      </c>
      <c r="F48" s="6">
        <v>120000</v>
      </c>
      <c r="G48" s="8">
        <f t="shared" si="0"/>
        <v>120000</v>
      </c>
      <c r="H48" s="3"/>
    </row>
    <row r="49" spans="2:8" ht="13" x14ac:dyDescent="0.15">
      <c r="B49" s="2"/>
      <c r="C49" s="3"/>
      <c r="D49" s="3" t="s">
        <v>76</v>
      </c>
      <c r="E49" s="5">
        <v>2</v>
      </c>
      <c r="F49" s="6">
        <v>4000</v>
      </c>
      <c r="G49" s="8">
        <f t="shared" si="0"/>
        <v>8000</v>
      </c>
      <c r="H49" s="3"/>
    </row>
    <row r="50" spans="2:8" ht="13" x14ac:dyDescent="0.15">
      <c r="B50" s="2">
        <v>46126</v>
      </c>
      <c r="C50" s="3" t="s">
        <v>8</v>
      </c>
      <c r="D50" s="3" t="s">
        <v>48</v>
      </c>
      <c r="E50" s="5">
        <v>20</v>
      </c>
      <c r="F50" s="6">
        <v>122000</v>
      </c>
      <c r="G50" s="8">
        <f t="shared" si="0"/>
        <v>2440000</v>
      </c>
      <c r="H50" s="3"/>
    </row>
    <row r="51" spans="2:8" ht="13" x14ac:dyDescent="0.15">
      <c r="B51" s="2"/>
      <c r="C51" s="3"/>
      <c r="D51" s="3" t="s">
        <v>184</v>
      </c>
      <c r="E51" s="5">
        <v>10</v>
      </c>
      <c r="F51" s="6">
        <v>40000</v>
      </c>
      <c r="G51" s="8">
        <f t="shared" si="0"/>
        <v>400000</v>
      </c>
      <c r="H51" s="3"/>
    </row>
    <row r="52" spans="2:8" ht="13" x14ac:dyDescent="0.15">
      <c r="B52" s="2"/>
      <c r="C52" s="3"/>
      <c r="D52" s="3" t="s">
        <v>11</v>
      </c>
      <c r="E52" s="5">
        <v>2</v>
      </c>
      <c r="F52" s="6">
        <v>20000</v>
      </c>
      <c r="G52" s="8">
        <f t="shared" si="0"/>
        <v>40000</v>
      </c>
      <c r="H52" s="3"/>
    </row>
    <row r="53" spans="2:8" ht="13" x14ac:dyDescent="0.15">
      <c r="B53" s="2">
        <v>46127</v>
      </c>
      <c r="C53" s="3" t="s">
        <v>8</v>
      </c>
      <c r="D53" s="3" t="s">
        <v>16</v>
      </c>
      <c r="E53" s="5">
        <v>20</v>
      </c>
      <c r="F53" s="6">
        <v>61000</v>
      </c>
      <c r="G53" s="8">
        <f t="shared" si="0"/>
        <v>1220000</v>
      </c>
      <c r="H53" s="3"/>
    </row>
    <row r="54" spans="2:8" ht="13" x14ac:dyDescent="0.15">
      <c r="B54" s="2">
        <v>46128</v>
      </c>
      <c r="C54" s="3" t="s">
        <v>156</v>
      </c>
      <c r="D54" s="3" t="s">
        <v>157</v>
      </c>
      <c r="E54" s="5">
        <v>8</v>
      </c>
      <c r="F54" s="6">
        <v>465000</v>
      </c>
      <c r="G54" s="8">
        <f t="shared" si="0"/>
        <v>3720000</v>
      </c>
      <c r="H54" s="3"/>
    </row>
    <row r="55" spans="2:8" ht="13" x14ac:dyDescent="0.15">
      <c r="B55" s="2">
        <v>46128</v>
      </c>
      <c r="C55" s="3" t="s">
        <v>8</v>
      </c>
      <c r="D55" s="3" t="s">
        <v>188</v>
      </c>
      <c r="E55" s="5">
        <v>3</v>
      </c>
      <c r="F55" s="6">
        <v>20000</v>
      </c>
      <c r="G55" s="8">
        <f t="shared" si="0"/>
        <v>60000</v>
      </c>
      <c r="H55" s="3"/>
    </row>
    <row r="56" spans="2:8" ht="13" x14ac:dyDescent="0.15">
      <c r="B56" s="2"/>
      <c r="C56" s="3"/>
      <c r="D56" s="3"/>
      <c r="E56" s="5"/>
      <c r="F56" s="6"/>
      <c r="G56" s="8"/>
      <c r="H56" s="3"/>
    </row>
    <row r="57" spans="2:8" ht="13" x14ac:dyDescent="0.15">
      <c r="B57" s="2"/>
      <c r="C57" s="3"/>
      <c r="D57" s="3" t="s">
        <v>189</v>
      </c>
      <c r="E57" s="5">
        <v>4</v>
      </c>
      <c r="F57" s="6">
        <v>4000</v>
      </c>
      <c r="G57" s="8">
        <f t="shared" ref="G57:G81" si="1">E57*F57</f>
        <v>16000</v>
      </c>
      <c r="H57" s="3"/>
    </row>
    <row r="58" spans="2:8" ht="13" x14ac:dyDescent="0.15">
      <c r="B58" s="2">
        <v>46129</v>
      </c>
      <c r="C58" s="3" t="s">
        <v>8</v>
      </c>
      <c r="D58" s="3" t="s">
        <v>190</v>
      </c>
      <c r="E58" s="5">
        <v>20</v>
      </c>
      <c r="F58" s="6">
        <v>72000</v>
      </c>
      <c r="G58" s="8">
        <f t="shared" si="1"/>
        <v>1440000</v>
      </c>
      <c r="H58" s="3"/>
    </row>
    <row r="59" spans="2:8" ht="13" x14ac:dyDescent="0.15">
      <c r="B59" s="2"/>
      <c r="C59" s="3"/>
      <c r="D59" s="3" t="s">
        <v>191</v>
      </c>
      <c r="E59" s="5">
        <v>8</v>
      </c>
      <c r="F59" s="6">
        <v>121000</v>
      </c>
      <c r="G59" s="8">
        <f t="shared" si="1"/>
        <v>968000</v>
      </c>
      <c r="H59" s="3"/>
    </row>
    <row r="60" spans="2:8" ht="13" x14ac:dyDescent="0.15">
      <c r="B60" s="2"/>
      <c r="C60" s="3"/>
      <c r="D60" s="3" t="s">
        <v>160</v>
      </c>
      <c r="E60" s="5">
        <v>10</v>
      </c>
      <c r="F60" s="6">
        <v>74000</v>
      </c>
      <c r="G60" s="8">
        <f t="shared" si="1"/>
        <v>740000</v>
      </c>
      <c r="H60" s="3"/>
    </row>
    <row r="61" spans="2:8" ht="13" x14ac:dyDescent="0.15">
      <c r="B61" s="2">
        <v>46130</v>
      </c>
      <c r="C61" s="3" t="s">
        <v>8</v>
      </c>
      <c r="D61" s="3" t="s">
        <v>192</v>
      </c>
      <c r="E61" s="5">
        <v>3</v>
      </c>
      <c r="F61" s="6">
        <v>20000</v>
      </c>
      <c r="G61" s="8">
        <f t="shared" si="1"/>
        <v>60000</v>
      </c>
      <c r="H61" s="3"/>
    </row>
    <row r="62" spans="2:8" ht="13" x14ac:dyDescent="0.15">
      <c r="B62" s="2">
        <v>46130</v>
      </c>
      <c r="C62" s="3" t="s">
        <v>8</v>
      </c>
      <c r="D62" s="3" t="s">
        <v>193</v>
      </c>
      <c r="E62" s="5">
        <v>20</v>
      </c>
      <c r="F62" s="6">
        <v>72000</v>
      </c>
      <c r="G62" s="8">
        <f t="shared" si="1"/>
        <v>1440000</v>
      </c>
      <c r="H62" s="3"/>
    </row>
    <row r="63" spans="2:8" ht="13" x14ac:dyDescent="0.15">
      <c r="B63" s="2"/>
      <c r="C63" s="3"/>
      <c r="D63" s="3" t="s">
        <v>194</v>
      </c>
      <c r="E63" s="5">
        <v>2</v>
      </c>
      <c r="F63" s="6">
        <v>45000</v>
      </c>
      <c r="G63" s="8">
        <f t="shared" si="1"/>
        <v>90000</v>
      </c>
      <c r="H63" s="3"/>
    </row>
    <row r="64" spans="2:8" ht="13" x14ac:dyDescent="0.15">
      <c r="B64" s="2">
        <v>46131</v>
      </c>
      <c r="C64" s="3" t="s">
        <v>8</v>
      </c>
      <c r="D64" s="3" t="s">
        <v>16</v>
      </c>
      <c r="E64" s="5">
        <v>5</v>
      </c>
      <c r="F64" s="6">
        <v>61000</v>
      </c>
      <c r="G64" s="8">
        <f t="shared" si="1"/>
        <v>305000</v>
      </c>
      <c r="H64" s="3"/>
    </row>
    <row r="65" spans="2:8" ht="13" x14ac:dyDescent="0.15">
      <c r="B65" s="2"/>
      <c r="C65" s="3"/>
      <c r="D65" s="3" t="s">
        <v>66</v>
      </c>
      <c r="E65" s="5">
        <v>1</v>
      </c>
      <c r="F65" s="6">
        <v>240000</v>
      </c>
      <c r="G65" s="8">
        <f t="shared" si="1"/>
        <v>240000</v>
      </c>
      <c r="H65" s="3"/>
    </row>
    <row r="66" spans="2:8" ht="13" x14ac:dyDescent="0.15">
      <c r="B66" s="2">
        <v>46132</v>
      </c>
      <c r="C66" s="3" t="s">
        <v>8</v>
      </c>
      <c r="D66" s="3" t="s">
        <v>16</v>
      </c>
      <c r="E66" s="5">
        <v>20</v>
      </c>
      <c r="F66" s="6">
        <v>61500</v>
      </c>
      <c r="G66" s="8">
        <f t="shared" si="1"/>
        <v>1230000</v>
      </c>
      <c r="H66" s="3"/>
    </row>
    <row r="67" spans="2:8" ht="13" x14ac:dyDescent="0.15">
      <c r="B67" s="2">
        <v>46133</v>
      </c>
      <c r="C67" s="3" t="s">
        <v>195</v>
      </c>
      <c r="D67" s="3" t="s">
        <v>196</v>
      </c>
      <c r="E67" s="5">
        <v>157</v>
      </c>
      <c r="F67" s="6">
        <v>27000</v>
      </c>
      <c r="G67" s="8">
        <f t="shared" si="1"/>
        <v>4239000</v>
      </c>
      <c r="H67" s="3"/>
    </row>
    <row r="68" spans="2:8" ht="13" x14ac:dyDescent="0.15">
      <c r="B68" s="2">
        <v>46134</v>
      </c>
      <c r="C68" s="3" t="s">
        <v>8</v>
      </c>
      <c r="D68" s="3" t="s">
        <v>197</v>
      </c>
      <c r="E68" s="5">
        <v>1</v>
      </c>
      <c r="F68" s="6">
        <v>2700000</v>
      </c>
      <c r="G68" s="8">
        <f t="shared" si="1"/>
        <v>2700000</v>
      </c>
      <c r="H68" s="3"/>
    </row>
    <row r="69" spans="2:8" ht="13" x14ac:dyDescent="0.15">
      <c r="B69" s="2"/>
      <c r="C69" s="3"/>
      <c r="D69" s="3" t="s">
        <v>160</v>
      </c>
      <c r="E69" s="5">
        <v>5</v>
      </c>
      <c r="F69" s="6">
        <v>75000</v>
      </c>
      <c r="G69" s="8">
        <f t="shared" si="1"/>
        <v>375000</v>
      </c>
      <c r="H69" s="3"/>
    </row>
    <row r="70" spans="2:8" ht="13" x14ac:dyDescent="0.15">
      <c r="B70" s="2"/>
      <c r="C70" s="3"/>
      <c r="D70" s="3" t="s">
        <v>198</v>
      </c>
      <c r="E70" s="5">
        <v>2</v>
      </c>
      <c r="F70" s="6">
        <v>12000</v>
      </c>
      <c r="G70" s="8">
        <f t="shared" si="1"/>
        <v>24000</v>
      </c>
      <c r="H70" s="3"/>
    </row>
    <row r="71" spans="2:8" ht="13" x14ac:dyDescent="0.15">
      <c r="B71" s="2">
        <v>46135</v>
      </c>
      <c r="C71" s="3" t="s">
        <v>8</v>
      </c>
      <c r="D71" s="3" t="s">
        <v>160</v>
      </c>
      <c r="E71" s="5">
        <v>20</v>
      </c>
      <c r="F71" s="6">
        <v>75000</v>
      </c>
      <c r="G71" s="8">
        <f t="shared" si="1"/>
        <v>1500000</v>
      </c>
      <c r="H71" s="3"/>
    </row>
    <row r="72" spans="2:8" ht="13" x14ac:dyDescent="0.15">
      <c r="B72" s="2">
        <v>46136</v>
      </c>
      <c r="C72" s="3" t="s">
        <v>199</v>
      </c>
      <c r="D72" s="3" t="s">
        <v>200</v>
      </c>
      <c r="E72" s="5">
        <v>1</v>
      </c>
      <c r="F72" s="6">
        <v>5250000</v>
      </c>
      <c r="G72" s="8">
        <f t="shared" si="1"/>
        <v>5250000</v>
      </c>
      <c r="H72" s="3"/>
    </row>
    <row r="73" spans="2:8" ht="13" x14ac:dyDescent="0.15">
      <c r="B73" s="2">
        <v>46137</v>
      </c>
      <c r="C73" s="3" t="s">
        <v>201</v>
      </c>
      <c r="D73" s="3" t="s">
        <v>202</v>
      </c>
      <c r="E73" s="5">
        <v>3</v>
      </c>
      <c r="F73" s="6">
        <v>10000</v>
      </c>
      <c r="G73" s="8">
        <f t="shared" si="1"/>
        <v>30000</v>
      </c>
      <c r="H73" s="3"/>
    </row>
    <row r="74" spans="2:8" ht="13" x14ac:dyDescent="0.15">
      <c r="B74" s="2"/>
      <c r="C74" s="3"/>
      <c r="D74" s="3" t="s">
        <v>203</v>
      </c>
      <c r="E74" s="5">
        <v>30</v>
      </c>
      <c r="F74" s="6">
        <v>61000</v>
      </c>
      <c r="G74" s="8">
        <f t="shared" si="1"/>
        <v>1830000</v>
      </c>
      <c r="H74" s="3"/>
    </row>
    <row r="75" spans="2:8" ht="13" x14ac:dyDescent="0.15">
      <c r="B75" s="2"/>
      <c r="C75" s="3"/>
      <c r="D75" s="3" t="s">
        <v>10</v>
      </c>
      <c r="E75" s="5">
        <v>3</v>
      </c>
      <c r="F75" s="6">
        <v>100000</v>
      </c>
      <c r="G75" s="8">
        <f t="shared" si="1"/>
        <v>300000</v>
      </c>
      <c r="H75" s="3"/>
    </row>
    <row r="76" spans="2:8" ht="13" x14ac:dyDescent="0.15">
      <c r="B76" s="2"/>
      <c r="C76" s="3"/>
      <c r="D76" s="3" t="s">
        <v>25</v>
      </c>
      <c r="E76" s="5">
        <v>1</v>
      </c>
      <c r="F76" s="6">
        <v>100000</v>
      </c>
      <c r="G76" s="8">
        <f t="shared" si="1"/>
        <v>100000</v>
      </c>
      <c r="H76" s="3"/>
    </row>
    <row r="77" spans="2:8" ht="13" x14ac:dyDescent="0.15">
      <c r="B77" s="2"/>
      <c r="C77" s="3"/>
      <c r="D77" s="3" t="s">
        <v>204</v>
      </c>
      <c r="E77" s="5">
        <v>10</v>
      </c>
      <c r="F77" s="6">
        <v>25000</v>
      </c>
      <c r="G77" s="8">
        <f t="shared" si="1"/>
        <v>250000</v>
      </c>
      <c r="H77" s="3"/>
    </row>
    <row r="78" spans="2:8" ht="13" x14ac:dyDescent="0.15">
      <c r="B78" s="2"/>
      <c r="C78" s="3"/>
      <c r="D78" s="3" t="s">
        <v>205</v>
      </c>
      <c r="E78" s="5">
        <v>15</v>
      </c>
      <c r="F78" s="6">
        <v>73000</v>
      </c>
      <c r="G78" s="8">
        <f t="shared" si="1"/>
        <v>1095000</v>
      </c>
      <c r="H78" s="3"/>
    </row>
    <row r="79" spans="2:8" ht="13" x14ac:dyDescent="0.15">
      <c r="B79" s="2"/>
      <c r="C79" s="3"/>
      <c r="D79" s="3" t="s">
        <v>206</v>
      </c>
      <c r="E79" s="5">
        <v>1</v>
      </c>
      <c r="F79" s="6">
        <v>45000</v>
      </c>
      <c r="G79" s="8">
        <f t="shared" si="1"/>
        <v>45000</v>
      </c>
      <c r="H79" s="3"/>
    </row>
    <row r="80" spans="2:8" ht="13" x14ac:dyDescent="0.15">
      <c r="B80" s="2"/>
      <c r="C80" s="3"/>
      <c r="D80" s="3" t="s">
        <v>192</v>
      </c>
      <c r="E80" s="5">
        <v>1</v>
      </c>
      <c r="F80" s="6">
        <v>20000</v>
      </c>
      <c r="G80" s="8">
        <f t="shared" si="1"/>
        <v>20000</v>
      </c>
      <c r="H80" s="3"/>
    </row>
    <row r="81" spans="2:8" ht="13" x14ac:dyDescent="0.15">
      <c r="B81" s="2"/>
      <c r="C81" s="3"/>
      <c r="D81" s="3" t="s">
        <v>207</v>
      </c>
      <c r="E81" s="5">
        <v>1</v>
      </c>
      <c r="F81" s="6">
        <v>85000</v>
      </c>
      <c r="G81" s="8">
        <f t="shared" si="1"/>
        <v>85000</v>
      </c>
      <c r="H81" s="3"/>
    </row>
    <row r="82" spans="2:8" ht="13" x14ac:dyDescent="0.15">
      <c r="B82" s="2">
        <v>46139</v>
      </c>
      <c r="C82" s="3" t="s">
        <v>8</v>
      </c>
      <c r="D82" s="3" t="s">
        <v>10</v>
      </c>
      <c r="E82" s="5">
        <v>2</v>
      </c>
      <c r="F82" s="6">
        <v>100000</v>
      </c>
      <c r="G82" s="8">
        <v>200000</v>
      </c>
      <c r="H82" s="3"/>
    </row>
    <row r="83" spans="2:8" ht="13" x14ac:dyDescent="0.15">
      <c r="B83" s="2"/>
      <c r="C83" s="3"/>
      <c r="D83" s="3" t="s">
        <v>90</v>
      </c>
      <c r="E83" s="5">
        <v>2</v>
      </c>
      <c r="F83" s="6">
        <v>150000</v>
      </c>
      <c r="G83" s="8">
        <f t="shared" ref="G83:G95" si="2">E83*F83</f>
        <v>300000</v>
      </c>
      <c r="H83" s="3"/>
    </row>
    <row r="84" spans="2:8" ht="13" x14ac:dyDescent="0.15">
      <c r="B84" s="2">
        <v>46140</v>
      </c>
      <c r="C84" s="3" t="s">
        <v>19</v>
      </c>
      <c r="D84" s="3" t="s">
        <v>208</v>
      </c>
      <c r="E84" s="5">
        <v>3</v>
      </c>
      <c r="F84" s="6">
        <v>2444000</v>
      </c>
      <c r="G84" s="8">
        <f t="shared" si="2"/>
        <v>7332000</v>
      </c>
      <c r="H84" s="3"/>
    </row>
    <row r="85" spans="2:8" ht="13" x14ac:dyDescent="0.15">
      <c r="B85" s="2"/>
      <c r="C85" s="3"/>
      <c r="D85" s="3" t="s">
        <v>20</v>
      </c>
      <c r="E85" s="5">
        <v>2</v>
      </c>
      <c r="F85" s="6">
        <v>3306000</v>
      </c>
      <c r="G85" s="8">
        <f t="shared" si="2"/>
        <v>6612000</v>
      </c>
      <c r="H85" s="3"/>
    </row>
    <row r="86" spans="2:8" ht="13" x14ac:dyDescent="0.15">
      <c r="B86" s="2"/>
      <c r="C86" s="3"/>
      <c r="D86" s="3" t="s">
        <v>23</v>
      </c>
      <c r="E86" s="5">
        <v>9</v>
      </c>
      <c r="F86" s="6">
        <v>1837500</v>
      </c>
      <c r="G86" s="8">
        <f t="shared" si="2"/>
        <v>16537500</v>
      </c>
      <c r="H86" s="3"/>
    </row>
    <row r="87" spans="2:8" ht="13" x14ac:dyDescent="0.15">
      <c r="B87" s="2">
        <v>46140</v>
      </c>
      <c r="C87" s="3" t="s">
        <v>14</v>
      </c>
      <c r="D87" s="3" t="s">
        <v>15</v>
      </c>
      <c r="E87" s="5">
        <v>1</v>
      </c>
      <c r="F87" s="6">
        <v>2600000</v>
      </c>
      <c r="G87" s="8">
        <f t="shared" si="2"/>
        <v>2600000</v>
      </c>
      <c r="H87" s="3"/>
    </row>
    <row r="88" spans="2:8" ht="13" x14ac:dyDescent="0.15">
      <c r="B88" s="2">
        <v>46140</v>
      </c>
      <c r="C88" s="3" t="s">
        <v>8</v>
      </c>
      <c r="D88" s="3" t="s">
        <v>209</v>
      </c>
      <c r="E88" s="5">
        <v>1</v>
      </c>
      <c r="F88" s="6">
        <v>20000</v>
      </c>
      <c r="G88" s="8">
        <f t="shared" si="2"/>
        <v>20000</v>
      </c>
      <c r="H88" s="3"/>
    </row>
    <row r="89" spans="2:8" ht="13" x14ac:dyDescent="0.15">
      <c r="B89" s="2"/>
      <c r="C89" s="3"/>
      <c r="D89" s="3" t="s">
        <v>210</v>
      </c>
      <c r="E89" s="5">
        <v>1</v>
      </c>
      <c r="F89" s="6">
        <v>10000</v>
      </c>
      <c r="G89" s="8">
        <f t="shared" si="2"/>
        <v>10000</v>
      </c>
      <c r="H89" s="3"/>
    </row>
    <row r="90" spans="2:8" ht="13" x14ac:dyDescent="0.15">
      <c r="B90" s="2"/>
      <c r="C90" s="3"/>
      <c r="D90" s="3" t="s">
        <v>211</v>
      </c>
      <c r="E90" s="5">
        <v>1</v>
      </c>
      <c r="F90" s="6">
        <v>85000</v>
      </c>
      <c r="G90" s="8">
        <f t="shared" si="2"/>
        <v>85000</v>
      </c>
      <c r="H90" s="3"/>
    </row>
    <row r="91" spans="2:8" ht="13" x14ac:dyDescent="0.15">
      <c r="B91" s="2"/>
      <c r="C91" s="3"/>
      <c r="D91" s="3" t="s">
        <v>212</v>
      </c>
      <c r="E91" s="5">
        <v>1</v>
      </c>
      <c r="F91" s="6">
        <v>350000</v>
      </c>
      <c r="G91" s="8">
        <f t="shared" si="2"/>
        <v>350000</v>
      </c>
      <c r="H91" s="3"/>
    </row>
    <row r="92" spans="2:8" ht="13" x14ac:dyDescent="0.15">
      <c r="B92" s="2"/>
      <c r="C92" s="3"/>
      <c r="D92" s="3" t="s">
        <v>213</v>
      </c>
      <c r="E92" s="5">
        <v>1</v>
      </c>
      <c r="F92" s="6">
        <v>48000</v>
      </c>
      <c r="G92" s="8">
        <f t="shared" si="2"/>
        <v>48000</v>
      </c>
      <c r="H92" s="3"/>
    </row>
    <row r="93" spans="2:8" ht="13" x14ac:dyDescent="0.15">
      <c r="B93" s="2">
        <v>46141</v>
      </c>
      <c r="C93" s="3" t="s">
        <v>145</v>
      </c>
      <c r="D93" s="3" t="s">
        <v>214</v>
      </c>
      <c r="E93" s="5">
        <v>4</v>
      </c>
      <c r="F93" s="6">
        <v>87500</v>
      </c>
      <c r="G93" s="8">
        <f t="shared" si="2"/>
        <v>350000</v>
      </c>
      <c r="H93" s="3"/>
    </row>
    <row r="94" spans="2:8" ht="13" x14ac:dyDescent="0.15">
      <c r="B94" s="2"/>
      <c r="C94" s="3"/>
      <c r="D94" s="3" t="s">
        <v>215</v>
      </c>
      <c r="E94" s="5">
        <v>2</v>
      </c>
      <c r="F94" s="6">
        <v>240000</v>
      </c>
      <c r="G94" s="8">
        <f t="shared" si="2"/>
        <v>480000</v>
      </c>
      <c r="H94" s="3"/>
    </row>
    <row r="95" spans="2:8" ht="13" x14ac:dyDescent="0.15">
      <c r="B95" s="2"/>
      <c r="C95" s="3"/>
      <c r="D95" s="3" t="s">
        <v>216</v>
      </c>
      <c r="E95" s="5">
        <v>2</v>
      </c>
      <c r="F95" s="6">
        <v>11500</v>
      </c>
      <c r="G95" s="8">
        <f t="shared" si="2"/>
        <v>23000</v>
      </c>
      <c r="H95" s="3"/>
    </row>
    <row r="96" spans="2:8" ht="13" x14ac:dyDescent="0.15">
      <c r="B96" s="2"/>
      <c r="C96" s="3"/>
      <c r="D96" s="3" t="s">
        <v>217</v>
      </c>
      <c r="E96" s="5">
        <v>1</v>
      </c>
      <c r="F96" s="6">
        <v>154000</v>
      </c>
      <c r="G96" s="8">
        <v>901474</v>
      </c>
      <c r="H96" s="3"/>
    </row>
    <row r="97" spans="2:8" ht="13" x14ac:dyDescent="0.15">
      <c r="B97" s="9">
        <v>46141</v>
      </c>
      <c r="C97" s="10" t="s">
        <v>218</v>
      </c>
      <c r="D97" s="10" t="s">
        <v>219</v>
      </c>
      <c r="E97" s="11">
        <v>1</v>
      </c>
      <c r="F97" s="12">
        <v>63900</v>
      </c>
      <c r="G97" s="8">
        <f t="shared" ref="G97:G98" si="3">E97*F97</f>
        <v>63900</v>
      </c>
      <c r="H97" s="10"/>
    </row>
    <row r="98" spans="2:8" ht="13" x14ac:dyDescent="0.15">
      <c r="B98" s="9">
        <v>46141</v>
      </c>
      <c r="C98" s="10" t="s">
        <v>220</v>
      </c>
      <c r="D98" s="10" t="s">
        <v>221</v>
      </c>
      <c r="E98" s="11">
        <v>1</v>
      </c>
      <c r="F98" s="24">
        <v>500000</v>
      </c>
      <c r="G98" s="8">
        <f t="shared" si="3"/>
        <v>500000</v>
      </c>
      <c r="H98" s="10"/>
    </row>
    <row r="99" spans="2:8" ht="13" x14ac:dyDescent="0.15">
      <c r="B99" s="9">
        <v>46141</v>
      </c>
      <c r="C99" s="10" t="s">
        <v>8</v>
      </c>
      <c r="D99" s="10" t="s">
        <v>222</v>
      </c>
      <c r="E99" s="11">
        <v>1</v>
      </c>
      <c r="F99" s="24">
        <v>360000</v>
      </c>
      <c r="G99" s="8">
        <v>360000</v>
      </c>
      <c r="H99" s="10"/>
    </row>
    <row r="100" spans="2:8" ht="13" x14ac:dyDescent="0.15">
      <c r="B100" s="9">
        <v>46141</v>
      </c>
      <c r="C100" s="10"/>
      <c r="D100" s="10" t="s">
        <v>223</v>
      </c>
      <c r="E100" s="11">
        <v>11</v>
      </c>
      <c r="F100" s="12">
        <v>10000</v>
      </c>
      <c r="G100" s="8">
        <f t="shared" ref="G100:G144" si="4">E100*F100</f>
        <v>110000</v>
      </c>
      <c r="H100" s="10"/>
    </row>
    <row r="101" spans="2:8" ht="13" x14ac:dyDescent="0.15">
      <c r="B101" s="9">
        <v>46141</v>
      </c>
      <c r="C101" s="10"/>
      <c r="D101" s="10" t="s">
        <v>11</v>
      </c>
      <c r="E101" s="11">
        <v>2</v>
      </c>
      <c r="F101" s="12">
        <v>20000</v>
      </c>
      <c r="G101" s="8">
        <f t="shared" si="4"/>
        <v>40000</v>
      </c>
      <c r="H101" s="10"/>
    </row>
    <row r="102" spans="2:8" ht="13" x14ac:dyDescent="0.15">
      <c r="B102" s="9">
        <v>46142</v>
      </c>
      <c r="C102" s="10" t="s">
        <v>45</v>
      </c>
      <c r="D102" s="10" t="s">
        <v>115</v>
      </c>
      <c r="E102" s="11">
        <v>19.940000000000001</v>
      </c>
      <c r="F102" s="12">
        <v>23900</v>
      </c>
      <c r="G102" s="8">
        <f t="shared" si="4"/>
        <v>476566.00000000006</v>
      </c>
      <c r="H102" s="10"/>
    </row>
    <row r="103" spans="2:8" ht="13" x14ac:dyDescent="0.15">
      <c r="B103" s="9">
        <v>46142</v>
      </c>
      <c r="C103" s="10" t="s">
        <v>8</v>
      </c>
      <c r="D103" s="10" t="s">
        <v>10</v>
      </c>
      <c r="E103" s="11">
        <v>1</v>
      </c>
      <c r="F103" s="12">
        <v>450000</v>
      </c>
      <c r="G103" s="8">
        <f t="shared" si="4"/>
        <v>450000</v>
      </c>
      <c r="H103" s="10"/>
    </row>
    <row r="104" spans="2:8" ht="13" x14ac:dyDescent="0.15">
      <c r="B104" s="9"/>
      <c r="C104" s="10"/>
      <c r="D104" s="10" t="s">
        <v>160</v>
      </c>
      <c r="E104" s="11">
        <v>12</v>
      </c>
      <c r="F104" s="12">
        <v>74000</v>
      </c>
      <c r="G104" s="8">
        <f t="shared" si="4"/>
        <v>888000</v>
      </c>
      <c r="H104" s="10"/>
    </row>
    <row r="105" spans="2:8" ht="13" x14ac:dyDescent="0.15">
      <c r="B105" s="9"/>
      <c r="C105" s="10"/>
      <c r="D105" s="10" t="s">
        <v>204</v>
      </c>
      <c r="E105" s="11">
        <v>15</v>
      </c>
      <c r="F105" s="12">
        <v>25000</v>
      </c>
      <c r="G105" s="8">
        <f t="shared" si="4"/>
        <v>375000</v>
      </c>
      <c r="H105" s="10"/>
    </row>
    <row r="106" spans="2:8" ht="13" x14ac:dyDescent="0.15">
      <c r="B106" s="9"/>
      <c r="C106" s="10"/>
      <c r="D106" s="10"/>
      <c r="E106" s="11"/>
      <c r="F106" s="12"/>
      <c r="G106" s="8">
        <f t="shared" si="4"/>
        <v>0</v>
      </c>
      <c r="H106" s="10"/>
    </row>
    <row r="107" spans="2:8" ht="13" x14ac:dyDescent="0.15">
      <c r="B107" s="9"/>
      <c r="C107" s="10"/>
      <c r="D107" s="10"/>
      <c r="E107" s="11"/>
      <c r="F107" s="12"/>
      <c r="G107" s="8">
        <f t="shared" si="4"/>
        <v>0</v>
      </c>
      <c r="H107" s="10"/>
    </row>
    <row r="108" spans="2:8" ht="13" x14ac:dyDescent="0.15">
      <c r="B108" s="9"/>
      <c r="C108" s="10"/>
      <c r="D108" s="10"/>
      <c r="E108" s="11"/>
      <c r="F108" s="12"/>
      <c r="G108" s="8">
        <f t="shared" si="4"/>
        <v>0</v>
      </c>
      <c r="H108" s="10"/>
    </row>
    <row r="109" spans="2:8" ht="13" x14ac:dyDescent="0.15">
      <c r="B109" s="9"/>
      <c r="C109" s="10"/>
      <c r="D109" s="10"/>
      <c r="E109" s="11"/>
      <c r="F109" s="12"/>
      <c r="G109" s="8">
        <f t="shared" si="4"/>
        <v>0</v>
      </c>
      <c r="H109" s="10"/>
    </row>
    <row r="110" spans="2:8" ht="13" x14ac:dyDescent="0.15">
      <c r="B110" s="9"/>
      <c r="C110" s="10"/>
      <c r="D110" s="10"/>
      <c r="E110" s="11"/>
      <c r="F110" s="12"/>
      <c r="G110" s="8">
        <f t="shared" si="4"/>
        <v>0</v>
      </c>
      <c r="H110" s="10"/>
    </row>
    <row r="111" spans="2:8" ht="13" x14ac:dyDescent="0.15">
      <c r="B111" s="9"/>
      <c r="C111" s="10"/>
      <c r="D111" s="10"/>
      <c r="E111" s="11"/>
      <c r="F111" s="12"/>
      <c r="G111" s="8">
        <f t="shared" si="4"/>
        <v>0</v>
      </c>
      <c r="H111" s="10"/>
    </row>
    <row r="112" spans="2:8" ht="13" x14ac:dyDescent="0.15">
      <c r="B112" s="9"/>
      <c r="C112" s="10"/>
      <c r="D112" s="10"/>
      <c r="E112" s="11"/>
      <c r="F112" s="12"/>
      <c r="G112" s="8">
        <f t="shared" si="4"/>
        <v>0</v>
      </c>
      <c r="H112" s="10"/>
    </row>
    <row r="113" spans="2:8" ht="13" x14ac:dyDescent="0.15">
      <c r="B113" s="9"/>
      <c r="C113" s="10"/>
      <c r="D113" s="10"/>
      <c r="E113" s="11"/>
      <c r="F113" s="12"/>
      <c r="G113" s="8">
        <f t="shared" si="4"/>
        <v>0</v>
      </c>
      <c r="H113" s="10"/>
    </row>
    <row r="114" spans="2:8" ht="13" x14ac:dyDescent="0.15">
      <c r="B114" s="9"/>
      <c r="C114" s="10"/>
      <c r="D114" s="10"/>
      <c r="E114" s="11"/>
      <c r="F114" s="12"/>
      <c r="G114" s="8">
        <f t="shared" si="4"/>
        <v>0</v>
      </c>
      <c r="H114" s="10"/>
    </row>
    <row r="115" spans="2:8" ht="13" x14ac:dyDescent="0.15">
      <c r="B115" s="9"/>
      <c r="C115" s="10"/>
      <c r="D115" s="10"/>
      <c r="E115" s="11"/>
      <c r="F115" s="12"/>
      <c r="G115" s="8">
        <f t="shared" si="4"/>
        <v>0</v>
      </c>
      <c r="H115" s="10"/>
    </row>
    <row r="116" spans="2:8" ht="13" x14ac:dyDescent="0.15">
      <c r="B116" s="9"/>
      <c r="C116" s="10"/>
      <c r="D116" s="10"/>
      <c r="E116" s="11"/>
      <c r="F116" s="12"/>
      <c r="G116" s="8">
        <f t="shared" si="4"/>
        <v>0</v>
      </c>
      <c r="H116" s="10"/>
    </row>
    <row r="117" spans="2:8" ht="13" x14ac:dyDescent="0.15">
      <c r="B117" s="9"/>
      <c r="C117" s="10"/>
      <c r="D117" s="10"/>
      <c r="E117" s="11"/>
      <c r="F117" s="12"/>
      <c r="G117" s="8">
        <f t="shared" si="4"/>
        <v>0</v>
      </c>
      <c r="H117" s="10"/>
    </row>
    <row r="118" spans="2:8" ht="13" x14ac:dyDescent="0.15">
      <c r="B118" s="9"/>
      <c r="C118" s="10"/>
      <c r="D118" s="10"/>
      <c r="E118" s="11"/>
      <c r="F118" s="12"/>
      <c r="G118" s="8">
        <f t="shared" si="4"/>
        <v>0</v>
      </c>
      <c r="H118" s="10"/>
    </row>
    <row r="119" spans="2:8" ht="13" x14ac:dyDescent="0.15">
      <c r="B119" s="9"/>
      <c r="C119" s="10"/>
      <c r="D119" s="10"/>
      <c r="E119" s="11"/>
      <c r="F119" s="12"/>
      <c r="G119" s="8">
        <f t="shared" si="4"/>
        <v>0</v>
      </c>
      <c r="H119" s="10"/>
    </row>
    <row r="120" spans="2:8" ht="13" x14ac:dyDescent="0.15">
      <c r="B120" s="9"/>
      <c r="C120" s="10"/>
      <c r="D120" s="10"/>
      <c r="E120" s="11"/>
      <c r="F120" s="12"/>
      <c r="G120" s="8">
        <f t="shared" si="4"/>
        <v>0</v>
      </c>
      <c r="H120" s="10"/>
    </row>
    <row r="121" spans="2:8" ht="13" x14ac:dyDescent="0.15">
      <c r="B121" s="9"/>
      <c r="C121" s="10"/>
      <c r="D121" s="10"/>
      <c r="E121" s="11"/>
      <c r="F121" s="12"/>
      <c r="G121" s="8">
        <f t="shared" si="4"/>
        <v>0</v>
      </c>
      <c r="H121" s="10"/>
    </row>
    <row r="122" spans="2:8" ht="13" x14ac:dyDescent="0.15">
      <c r="B122" s="9"/>
      <c r="C122" s="10"/>
      <c r="D122" s="10"/>
      <c r="E122" s="11"/>
      <c r="F122" s="12"/>
      <c r="G122" s="8">
        <f t="shared" si="4"/>
        <v>0</v>
      </c>
      <c r="H122" s="10"/>
    </row>
    <row r="123" spans="2:8" ht="13" x14ac:dyDescent="0.15">
      <c r="B123" s="9"/>
      <c r="C123" s="10"/>
      <c r="D123" s="10"/>
      <c r="E123" s="11"/>
      <c r="F123" s="12"/>
      <c r="G123" s="8">
        <f t="shared" si="4"/>
        <v>0</v>
      </c>
      <c r="H123" s="10"/>
    </row>
    <row r="124" spans="2:8" ht="13" x14ac:dyDescent="0.15">
      <c r="B124" s="9"/>
      <c r="C124" s="10"/>
      <c r="D124" s="10"/>
      <c r="E124" s="11"/>
      <c r="F124" s="12"/>
      <c r="G124" s="8">
        <f t="shared" si="4"/>
        <v>0</v>
      </c>
      <c r="H124" s="10"/>
    </row>
    <row r="125" spans="2:8" ht="13" x14ac:dyDescent="0.15">
      <c r="B125" s="9"/>
      <c r="C125" s="10"/>
      <c r="D125" s="10"/>
      <c r="E125" s="11"/>
      <c r="F125" s="12"/>
      <c r="G125" s="8">
        <f t="shared" si="4"/>
        <v>0</v>
      </c>
      <c r="H125" s="10"/>
    </row>
    <row r="126" spans="2:8" ht="13" x14ac:dyDescent="0.15">
      <c r="B126" s="9"/>
      <c r="C126" s="10"/>
      <c r="D126" s="10"/>
      <c r="E126" s="11"/>
      <c r="F126" s="12"/>
      <c r="G126" s="8">
        <f t="shared" si="4"/>
        <v>0</v>
      </c>
      <c r="H126" s="10"/>
    </row>
    <row r="127" spans="2:8" ht="13" x14ac:dyDescent="0.15">
      <c r="B127" s="9"/>
      <c r="C127" s="10"/>
      <c r="D127" s="10"/>
      <c r="E127" s="11"/>
      <c r="F127" s="12"/>
      <c r="G127" s="8">
        <f t="shared" si="4"/>
        <v>0</v>
      </c>
      <c r="H127" s="10"/>
    </row>
    <row r="128" spans="2:8" ht="13" x14ac:dyDescent="0.15">
      <c r="B128" s="9"/>
      <c r="C128" s="10"/>
      <c r="D128" s="10"/>
      <c r="E128" s="11"/>
      <c r="F128" s="12"/>
      <c r="G128" s="8">
        <f t="shared" si="4"/>
        <v>0</v>
      </c>
      <c r="H128" s="10"/>
    </row>
    <row r="129" spans="2:8" ht="13" x14ac:dyDescent="0.15">
      <c r="B129" s="9"/>
      <c r="C129" s="10"/>
      <c r="D129" s="10"/>
      <c r="E129" s="11"/>
      <c r="F129" s="12"/>
      <c r="G129" s="8">
        <f t="shared" si="4"/>
        <v>0</v>
      </c>
      <c r="H129" s="10"/>
    </row>
    <row r="130" spans="2:8" ht="13" x14ac:dyDescent="0.15">
      <c r="B130" s="9"/>
      <c r="C130" s="10"/>
      <c r="D130" s="10"/>
      <c r="E130" s="11"/>
      <c r="F130" s="12"/>
      <c r="G130" s="8">
        <f t="shared" si="4"/>
        <v>0</v>
      </c>
      <c r="H130" s="10"/>
    </row>
    <row r="131" spans="2:8" ht="13" x14ac:dyDescent="0.15">
      <c r="B131" s="9"/>
      <c r="C131" s="10"/>
      <c r="D131" s="10"/>
      <c r="E131" s="11"/>
      <c r="F131" s="12"/>
      <c r="G131" s="8">
        <f t="shared" si="4"/>
        <v>0</v>
      </c>
      <c r="H131" s="10"/>
    </row>
    <row r="132" spans="2:8" ht="13" x14ac:dyDescent="0.15">
      <c r="B132" s="9"/>
      <c r="C132" s="10"/>
      <c r="D132" s="10"/>
      <c r="E132" s="11"/>
      <c r="F132" s="12"/>
      <c r="G132" s="8">
        <f t="shared" si="4"/>
        <v>0</v>
      </c>
      <c r="H132" s="10"/>
    </row>
    <row r="133" spans="2:8" ht="13" x14ac:dyDescent="0.15">
      <c r="B133" s="9"/>
      <c r="C133" s="10"/>
      <c r="D133" s="10"/>
      <c r="E133" s="11"/>
      <c r="F133" s="12"/>
      <c r="G133" s="8">
        <f t="shared" si="4"/>
        <v>0</v>
      </c>
      <c r="H133" s="10"/>
    </row>
    <row r="134" spans="2:8" ht="13" x14ac:dyDescent="0.15">
      <c r="B134" s="9"/>
      <c r="C134" s="10"/>
      <c r="D134" s="10"/>
      <c r="E134" s="11"/>
      <c r="F134" s="12"/>
      <c r="G134" s="8">
        <f t="shared" si="4"/>
        <v>0</v>
      </c>
      <c r="H134" s="10"/>
    </row>
    <row r="135" spans="2:8" ht="13" x14ac:dyDescent="0.15">
      <c r="B135" s="9"/>
      <c r="C135" s="10"/>
      <c r="D135" s="10"/>
      <c r="E135" s="11"/>
      <c r="F135" s="12"/>
      <c r="G135" s="8">
        <f t="shared" si="4"/>
        <v>0</v>
      </c>
      <c r="H135" s="10"/>
    </row>
    <row r="136" spans="2:8" ht="13" x14ac:dyDescent="0.15">
      <c r="B136" s="9"/>
      <c r="C136" s="10"/>
      <c r="D136" s="10"/>
      <c r="E136" s="11"/>
      <c r="F136" s="12"/>
      <c r="G136" s="8">
        <f t="shared" si="4"/>
        <v>0</v>
      </c>
      <c r="H136" s="10"/>
    </row>
    <row r="137" spans="2:8" ht="13" x14ac:dyDescent="0.15">
      <c r="B137" s="9"/>
      <c r="C137" s="10"/>
      <c r="D137" s="10"/>
      <c r="E137" s="11"/>
      <c r="F137" s="12"/>
      <c r="G137" s="8">
        <f t="shared" si="4"/>
        <v>0</v>
      </c>
      <c r="H137" s="10"/>
    </row>
    <row r="138" spans="2:8" ht="13" x14ac:dyDescent="0.15">
      <c r="B138" s="9"/>
      <c r="C138" s="10"/>
      <c r="D138" s="10"/>
      <c r="E138" s="11"/>
      <c r="F138" s="12"/>
      <c r="G138" s="8">
        <f t="shared" si="4"/>
        <v>0</v>
      </c>
      <c r="H138" s="10"/>
    </row>
    <row r="139" spans="2:8" ht="13" x14ac:dyDescent="0.15">
      <c r="B139" s="9"/>
      <c r="C139" s="10" t="s">
        <v>14</v>
      </c>
      <c r="D139" s="10" t="s">
        <v>17</v>
      </c>
      <c r="E139" s="11">
        <v>1</v>
      </c>
      <c r="F139" s="12">
        <v>2500000</v>
      </c>
      <c r="G139" s="8">
        <f t="shared" si="4"/>
        <v>2500000</v>
      </c>
      <c r="H139" s="10"/>
    </row>
    <row r="140" spans="2:8" ht="13" x14ac:dyDescent="0.15">
      <c r="B140" s="9"/>
      <c r="C140" s="10"/>
      <c r="D140" s="10" t="s">
        <v>260</v>
      </c>
      <c r="E140" s="11">
        <v>150</v>
      </c>
      <c r="F140" s="12">
        <v>27000</v>
      </c>
      <c r="G140" s="8">
        <f t="shared" si="4"/>
        <v>4050000</v>
      </c>
      <c r="H140" s="10"/>
    </row>
    <row r="141" spans="2:8" ht="13" x14ac:dyDescent="0.15">
      <c r="B141" s="9"/>
      <c r="C141" s="10"/>
      <c r="D141" s="10" t="s">
        <v>262</v>
      </c>
      <c r="E141" s="11">
        <v>100</v>
      </c>
      <c r="F141" s="12">
        <v>27000</v>
      </c>
      <c r="G141" s="8">
        <f t="shared" si="4"/>
        <v>2700000</v>
      </c>
      <c r="H141" s="10"/>
    </row>
    <row r="142" spans="2:8" ht="13" x14ac:dyDescent="0.15">
      <c r="B142" s="9"/>
      <c r="C142" s="10" t="s">
        <v>195</v>
      </c>
      <c r="D142" s="10" t="s">
        <v>262</v>
      </c>
      <c r="E142" s="11">
        <v>208</v>
      </c>
      <c r="F142" s="12">
        <v>27000</v>
      </c>
      <c r="G142" s="8">
        <f t="shared" si="4"/>
        <v>5616000</v>
      </c>
      <c r="H142" s="10"/>
    </row>
    <row r="143" spans="2:8" ht="13" x14ac:dyDescent="0.15">
      <c r="B143" s="9"/>
      <c r="C143" s="10"/>
      <c r="D143" s="10"/>
      <c r="E143" s="11"/>
      <c r="F143" s="12"/>
      <c r="G143" s="8">
        <f t="shared" si="4"/>
        <v>0</v>
      </c>
      <c r="H143" s="10"/>
    </row>
    <row r="144" spans="2:8" ht="13" x14ac:dyDescent="0.15">
      <c r="B144" s="9"/>
      <c r="C144" s="10"/>
      <c r="D144" s="10" t="s">
        <v>54</v>
      </c>
      <c r="E144" s="11">
        <v>1</v>
      </c>
      <c r="F144" s="12">
        <v>600000</v>
      </c>
      <c r="G144" s="8">
        <f t="shared" si="4"/>
        <v>600000</v>
      </c>
      <c r="H144" s="10"/>
    </row>
    <row r="145" spans="2:8" ht="13" x14ac:dyDescent="0.15">
      <c r="B145" s="13"/>
      <c r="C145" s="14"/>
      <c r="D145" s="14"/>
      <c r="E145" s="15"/>
      <c r="F145" s="16"/>
      <c r="G145" s="17"/>
      <c r="H145" s="14"/>
    </row>
    <row r="146" spans="2:8" ht="35.25" customHeight="1" x14ac:dyDescent="0.15">
      <c r="B146" s="26" t="s">
        <v>42</v>
      </c>
      <c r="C146" s="27"/>
      <c r="D146" s="27"/>
      <c r="E146" s="27"/>
      <c r="F146" s="28"/>
      <c r="G146" s="29">
        <f>SUM(G4:G144)</f>
        <v>113743440</v>
      </c>
      <c r="H146" s="28"/>
    </row>
  </sheetData>
  <mergeCells count="2">
    <mergeCell ref="B146:F146"/>
    <mergeCell ref="G146:H14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06"/>
  <sheetViews>
    <sheetView workbookViewId="0"/>
  </sheetViews>
  <sheetFormatPr baseColWidth="10" defaultColWidth="12.6640625" defaultRowHeight="15.75" customHeight="1" x14ac:dyDescent="0.15"/>
  <cols>
    <col min="3" max="3" width="25.6640625" customWidth="1"/>
    <col min="4" max="4" width="38.33203125" customWidth="1"/>
    <col min="6" max="6" width="25.5" customWidth="1"/>
    <col min="7" max="7" width="25.33203125" customWidth="1"/>
    <col min="8" max="8" width="35.6640625" customWidth="1"/>
  </cols>
  <sheetData>
    <row r="1" spans="1:8" ht="13" x14ac:dyDescent="0.15">
      <c r="A1" s="4" t="s">
        <v>7</v>
      </c>
    </row>
    <row r="3" spans="1:8" ht="42.75" customHeight="1" x14ac:dyDescent="0.1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 ht="13" x14ac:dyDescent="0.15">
      <c r="B4" s="2"/>
      <c r="C4" s="3"/>
      <c r="D4" s="3"/>
      <c r="E4" s="5"/>
      <c r="F4" s="6"/>
      <c r="G4" s="7"/>
      <c r="H4" s="3"/>
    </row>
    <row r="5" spans="1:8" ht="13" x14ac:dyDescent="0.15">
      <c r="B5" s="2">
        <v>46143</v>
      </c>
      <c r="C5" s="3" t="s">
        <v>8</v>
      </c>
      <c r="D5" s="3" t="s">
        <v>224</v>
      </c>
      <c r="E5" s="5">
        <v>1</v>
      </c>
      <c r="F5" s="6">
        <v>2700000</v>
      </c>
      <c r="G5" s="8">
        <f t="shared" ref="G5:G12" si="0">E5*F5</f>
        <v>2700000</v>
      </c>
      <c r="H5" s="3"/>
    </row>
    <row r="6" spans="1:8" ht="13" x14ac:dyDescent="0.15">
      <c r="B6" s="2">
        <v>46144</v>
      </c>
      <c r="C6" s="3" t="s">
        <v>225</v>
      </c>
      <c r="D6" s="3" t="s">
        <v>226</v>
      </c>
      <c r="E6" s="5">
        <v>4</v>
      </c>
      <c r="F6" s="6">
        <v>80000</v>
      </c>
      <c r="G6" s="8">
        <f t="shared" si="0"/>
        <v>320000</v>
      </c>
      <c r="H6" s="3"/>
    </row>
    <row r="7" spans="1:8" ht="13" x14ac:dyDescent="0.15">
      <c r="B7" s="2"/>
      <c r="C7" s="3"/>
      <c r="D7" s="3" t="s">
        <v>226</v>
      </c>
      <c r="E7" s="5">
        <v>6</v>
      </c>
      <c r="F7" s="6">
        <v>60000</v>
      </c>
      <c r="G7" s="8">
        <f t="shared" si="0"/>
        <v>360000</v>
      </c>
      <c r="H7" s="3"/>
    </row>
    <row r="8" spans="1:8" ht="13" x14ac:dyDescent="0.15">
      <c r="B8" s="2">
        <v>46144</v>
      </c>
      <c r="C8" s="3" t="s">
        <v>225</v>
      </c>
      <c r="D8" s="3" t="s">
        <v>227</v>
      </c>
      <c r="E8" s="5">
        <v>20</v>
      </c>
      <c r="F8" s="6">
        <v>9000</v>
      </c>
      <c r="G8" s="8">
        <f t="shared" si="0"/>
        <v>180000</v>
      </c>
      <c r="H8" s="3"/>
    </row>
    <row r="9" spans="1:8" ht="13" x14ac:dyDescent="0.15">
      <c r="B9" s="2"/>
      <c r="C9" s="3"/>
      <c r="D9" s="3" t="s">
        <v>228</v>
      </c>
      <c r="E9" s="5">
        <v>4</v>
      </c>
      <c r="F9" s="6">
        <v>50000</v>
      </c>
      <c r="G9" s="8">
        <f t="shared" si="0"/>
        <v>200000</v>
      </c>
      <c r="H9" s="3"/>
    </row>
    <row r="10" spans="1:8" ht="13" x14ac:dyDescent="0.15">
      <c r="B10" s="2">
        <v>46144</v>
      </c>
      <c r="C10" s="3" t="s">
        <v>225</v>
      </c>
      <c r="D10" s="3" t="s">
        <v>229</v>
      </c>
      <c r="E10" s="5">
        <v>10</v>
      </c>
      <c r="F10" s="6">
        <v>60000</v>
      </c>
      <c r="G10" s="8">
        <f t="shared" si="0"/>
        <v>600000</v>
      </c>
      <c r="H10" s="3"/>
    </row>
    <row r="11" spans="1:8" ht="13" x14ac:dyDescent="0.15">
      <c r="B11" s="2"/>
      <c r="C11" s="3"/>
      <c r="D11" s="3" t="s">
        <v>230</v>
      </c>
      <c r="E11" s="5">
        <v>4</v>
      </c>
      <c r="F11" s="6">
        <v>40000</v>
      </c>
      <c r="G11" s="8">
        <f t="shared" si="0"/>
        <v>160000</v>
      </c>
      <c r="H11" s="3"/>
    </row>
    <row r="12" spans="1:8" ht="13" x14ac:dyDescent="0.15">
      <c r="B12" s="2">
        <v>46144</v>
      </c>
      <c r="C12" s="3" t="s">
        <v>233</v>
      </c>
      <c r="D12" s="3" t="s">
        <v>234</v>
      </c>
      <c r="E12" s="5">
        <v>1</v>
      </c>
      <c r="F12" s="6">
        <v>22400</v>
      </c>
      <c r="G12" s="8">
        <f t="shared" si="0"/>
        <v>22400</v>
      </c>
      <c r="H12" s="3"/>
    </row>
    <row r="13" spans="1:8" ht="13" x14ac:dyDescent="0.15">
      <c r="B13" s="2"/>
      <c r="C13" s="3"/>
      <c r="D13" s="3" t="s">
        <v>236</v>
      </c>
      <c r="E13" s="5">
        <v>1</v>
      </c>
      <c r="F13" s="6">
        <v>22400</v>
      </c>
      <c r="G13" s="8">
        <v>37800</v>
      </c>
      <c r="H13" s="3"/>
    </row>
    <row r="14" spans="1:8" ht="13" x14ac:dyDescent="0.15">
      <c r="B14" s="2">
        <v>46144</v>
      </c>
      <c r="C14" s="3" t="s">
        <v>237</v>
      </c>
      <c r="D14" s="3" t="s">
        <v>238</v>
      </c>
      <c r="E14" s="5">
        <v>1</v>
      </c>
      <c r="F14" s="6">
        <v>125000</v>
      </c>
      <c r="G14" s="8">
        <f t="shared" ref="G14:G104" si="1">E14*F14</f>
        <v>125000</v>
      </c>
      <c r="H14" s="3"/>
    </row>
    <row r="15" spans="1:8" ht="13" x14ac:dyDescent="0.15">
      <c r="B15" s="2"/>
      <c r="C15" s="3"/>
      <c r="D15" s="3" t="s">
        <v>239</v>
      </c>
      <c r="E15" s="5">
        <v>1</v>
      </c>
      <c r="F15" s="6">
        <v>40000</v>
      </c>
      <c r="G15" s="8">
        <f t="shared" si="1"/>
        <v>40000</v>
      </c>
      <c r="H15" s="3"/>
    </row>
    <row r="16" spans="1:8" ht="13" x14ac:dyDescent="0.15">
      <c r="B16" s="2"/>
      <c r="C16" s="3"/>
      <c r="D16" s="3" t="s">
        <v>240</v>
      </c>
      <c r="E16" s="5">
        <v>2</v>
      </c>
      <c r="F16" s="6">
        <v>15000</v>
      </c>
      <c r="G16" s="8">
        <f t="shared" si="1"/>
        <v>30000</v>
      </c>
      <c r="H16" s="3"/>
    </row>
    <row r="17" spans="2:8" ht="13" x14ac:dyDescent="0.15">
      <c r="B17" s="2">
        <v>46144</v>
      </c>
      <c r="C17" s="3" t="s">
        <v>8</v>
      </c>
      <c r="D17" s="3" t="s">
        <v>224</v>
      </c>
      <c r="E17" s="5">
        <v>1</v>
      </c>
      <c r="F17" s="6">
        <v>1400000</v>
      </c>
      <c r="G17" s="8">
        <f t="shared" si="1"/>
        <v>1400000</v>
      </c>
      <c r="H17" s="3"/>
    </row>
    <row r="18" spans="2:8" ht="13" x14ac:dyDescent="0.15">
      <c r="B18" s="2">
        <v>46144</v>
      </c>
      <c r="C18" s="3" t="s">
        <v>8</v>
      </c>
      <c r="D18" s="3" t="s">
        <v>16</v>
      </c>
      <c r="E18" s="5">
        <v>20</v>
      </c>
      <c r="F18" s="6">
        <v>61000</v>
      </c>
      <c r="G18" s="8">
        <f t="shared" si="1"/>
        <v>1220000</v>
      </c>
      <c r="H18" s="3"/>
    </row>
    <row r="19" spans="2:8" ht="13" x14ac:dyDescent="0.15">
      <c r="B19" s="2"/>
      <c r="C19" s="3"/>
      <c r="D19" s="3" t="s">
        <v>24</v>
      </c>
      <c r="E19" s="5">
        <v>32</v>
      </c>
      <c r="F19" s="6">
        <v>27000</v>
      </c>
      <c r="G19" s="8">
        <f t="shared" si="1"/>
        <v>864000</v>
      </c>
      <c r="H19" s="3"/>
    </row>
    <row r="20" spans="2:8" ht="13" x14ac:dyDescent="0.15">
      <c r="B20" s="2">
        <v>46146</v>
      </c>
      <c r="C20" s="3" t="s">
        <v>8</v>
      </c>
      <c r="D20" s="3" t="s">
        <v>224</v>
      </c>
      <c r="E20" s="5">
        <v>1</v>
      </c>
      <c r="F20" s="6">
        <v>1400000</v>
      </c>
      <c r="G20" s="8">
        <f t="shared" si="1"/>
        <v>1400000</v>
      </c>
      <c r="H20" s="3"/>
    </row>
    <row r="21" spans="2:8" ht="13" x14ac:dyDescent="0.15">
      <c r="B21" s="2">
        <v>46147</v>
      </c>
      <c r="C21" s="3" t="s">
        <v>8</v>
      </c>
      <c r="D21" s="3" t="s">
        <v>48</v>
      </c>
      <c r="E21" s="5">
        <v>5</v>
      </c>
      <c r="F21" s="6">
        <v>123000</v>
      </c>
      <c r="G21" s="8">
        <f t="shared" si="1"/>
        <v>615000</v>
      </c>
      <c r="H21" s="3"/>
    </row>
    <row r="22" spans="2:8" ht="13" x14ac:dyDescent="0.15">
      <c r="B22" s="2"/>
      <c r="C22" s="3"/>
      <c r="D22" s="3" t="s">
        <v>67</v>
      </c>
      <c r="E22" s="5">
        <v>10</v>
      </c>
      <c r="F22" s="6">
        <v>28000</v>
      </c>
      <c r="G22" s="8">
        <f t="shared" si="1"/>
        <v>280000</v>
      </c>
      <c r="H22" s="3"/>
    </row>
    <row r="23" spans="2:8" ht="13" x14ac:dyDescent="0.15">
      <c r="B23" s="2"/>
      <c r="C23" s="3"/>
      <c r="D23" s="3" t="s">
        <v>16</v>
      </c>
      <c r="E23" s="5">
        <v>20</v>
      </c>
      <c r="F23" s="6">
        <v>61000</v>
      </c>
      <c r="G23" s="8">
        <f t="shared" si="1"/>
        <v>1220000</v>
      </c>
      <c r="H23" s="3"/>
    </row>
    <row r="24" spans="2:8" ht="13" x14ac:dyDescent="0.15">
      <c r="B24" s="2"/>
      <c r="C24" s="3"/>
      <c r="D24" s="3" t="s">
        <v>9</v>
      </c>
      <c r="E24" s="5">
        <v>5</v>
      </c>
      <c r="F24" s="6">
        <v>72500</v>
      </c>
      <c r="G24" s="8">
        <f t="shared" si="1"/>
        <v>362500</v>
      </c>
      <c r="H24" s="3"/>
    </row>
    <row r="25" spans="2:8" ht="13" x14ac:dyDescent="0.15">
      <c r="B25" s="2">
        <v>46148</v>
      </c>
      <c r="C25" s="3" t="s">
        <v>19</v>
      </c>
      <c r="D25" s="3" t="s">
        <v>23</v>
      </c>
      <c r="E25" s="5">
        <v>3</v>
      </c>
      <c r="F25" s="6">
        <v>1837500</v>
      </c>
      <c r="G25" s="8">
        <f t="shared" si="1"/>
        <v>5512500</v>
      </c>
      <c r="H25" s="3"/>
    </row>
    <row r="26" spans="2:8" ht="13" x14ac:dyDescent="0.15">
      <c r="B26" s="2">
        <v>46148</v>
      </c>
      <c r="C26" s="3" t="s">
        <v>45</v>
      </c>
      <c r="D26" s="3" t="s">
        <v>115</v>
      </c>
      <c r="E26" s="5">
        <v>18.96</v>
      </c>
      <c r="F26" s="6">
        <v>27900</v>
      </c>
      <c r="G26" s="8">
        <f t="shared" si="1"/>
        <v>528984</v>
      </c>
      <c r="H26" s="3"/>
    </row>
    <row r="27" spans="2:8" ht="13" x14ac:dyDescent="0.15">
      <c r="B27" s="2">
        <v>46148</v>
      </c>
      <c r="C27" s="3" t="s">
        <v>14</v>
      </c>
      <c r="D27" s="3" t="s">
        <v>244</v>
      </c>
      <c r="E27" s="5">
        <v>1</v>
      </c>
      <c r="F27" s="6">
        <v>2800000</v>
      </c>
      <c r="G27" s="8">
        <f t="shared" si="1"/>
        <v>2800000</v>
      </c>
      <c r="H27" s="3"/>
    </row>
    <row r="28" spans="2:8" ht="13" x14ac:dyDescent="0.15">
      <c r="B28" s="2">
        <v>46148</v>
      </c>
      <c r="C28" s="3" t="s">
        <v>14</v>
      </c>
      <c r="D28" s="3" t="s">
        <v>15</v>
      </c>
      <c r="E28" s="5">
        <v>1</v>
      </c>
      <c r="F28" s="6">
        <v>2600000</v>
      </c>
      <c r="G28" s="8">
        <f t="shared" si="1"/>
        <v>2600000</v>
      </c>
      <c r="H28" s="3"/>
    </row>
    <row r="29" spans="2:8" ht="13" x14ac:dyDescent="0.15">
      <c r="B29" s="2">
        <v>46150</v>
      </c>
      <c r="C29" s="3" t="s">
        <v>8</v>
      </c>
      <c r="D29" s="3" t="s">
        <v>90</v>
      </c>
      <c r="E29" s="5">
        <v>2</v>
      </c>
      <c r="F29" s="6">
        <v>12000</v>
      </c>
      <c r="G29" s="8">
        <f t="shared" si="1"/>
        <v>24000</v>
      </c>
      <c r="H29" s="3"/>
    </row>
    <row r="30" spans="2:8" ht="13" x14ac:dyDescent="0.15">
      <c r="B30" s="2"/>
      <c r="C30" s="3"/>
      <c r="D30" s="3" t="s">
        <v>246</v>
      </c>
      <c r="E30" s="5">
        <v>2</v>
      </c>
      <c r="F30" s="6">
        <v>60000</v>
      </c>
      <c r="G30" s="8">
        <f t="shared" si="1"/>
        <v>120000</v>
      </c>
      <c r="H30" s="3"/>
    </row>
    <row r="31" spans="2:8" ht="13" x14ac:dyDescent="0.15">
      <c r="B31" s="2">
        <v>46151</v>
      </c>
      <c r="C31" s="3" t="s">
        <v>247</v>
      </c>
      <c r="D31" s="3" t="s">
        <v>248</v>
      </c>
      <c r="E31" s="5">
        <v>1</v>
      </c>
      <c r="F31" s="6">
        <v>155000</v>
      </c>
      <c r="G31" s="8">
        <f t="shared" si="1"/>
        <v>155000</v>
      </c>
      <c r="H31" s="3"/>
    </row>
    <row r="32" spans="2:8" ht="13" x14ac:dyDescent="0.15">
      <c r="B32" s="2"/>
      <c r="C32" s="3"/>
      <c r="D32" s="3" t="s">
        <v>249</v>
      </c>
      <c r="E32" s="5">
        <v>4</v>
      </c>
      <c r="F32" s="6">
        <v>78499</v>
      </c>
      <c r="G32" s="8">
        <f t="shared" si="1"/>
        <v>313996</v>
      </c>
      <c r="H32" s="3"/>
    </row>
    <row r="33" spans="2:8" ht="13" x14ac:dyDescent="0.15">
      <c r="B33" s="2"/>
      <c r="C33" s="3"/>
      <c r="D33" s="3" t="s">
        <v>250</v>
      </c>
      <c r="E33" s="5">
        <v>1</v>
      </c>
      <c r="F33" s="6">
        <v>45000</v>
      </c>
      <c r="G33" s="8">
        <f t="shared" si="1"/>
        <v>45000</v>
      </c>
      <c r="H33" s="3"/>
    </row>
    <row r="34" spans="2:8" ht="13" x14ac:dyDescent="0.15">
      <c r="B34" s="2">
        <v>46151</v>
      </c>
      <c r="C34" s="3"/>
      <c r="D34" s="3" t="s">
        <v>251</v>
      </c>
      <c r="E34" s="5">
        <v>1</v>
      </c>
      <c r="F34" s="6">
        <v>355000</v>
      </c>
      <c r="G34" s="8">
        <f t="shared" si="1"/>
        <v>355000</v>
      </c>
      <c r="H34" s="3"/>
    </row>
    <row r="35" spans="2:8" ht="13" x14ac:dyDescent="0.15">
      <c r="B35" s="2">
        <v>46151</v>
      </c>
      <c r="C35" s="3" t="s">
        <v>8</v>
      </c>
      <c r="D35" s="3" t="s">
        <v>252</v>
      </c>
      <c r="E35" s="5">
        <v>3</v>
      </c>
      <c r="F35" s="6">
        <v>20000</v>
      </c>
      <c r="G35" s="8">
        <f t="shared" si="1"/>
        <v>60000</v>
      </c>
      <c r="H35" s="3"/>
    </row>
    <row r="36" spans="2:8" ht="13" x14ac:dyDescent="0.15">
      <c r="B36" s="2">
        <v>46152</v>
      </c>
      <c r="C36" s="3" t="s">
        <v>8</v>
      </c>
      <c r="D36" s="3" t="s">
        <v>16</v>
      </c>
      <c r="E36" s="5">
        <v>20</v>
      </c>
      <c r="F36" s="6">
        <v>61000</v>
      </c>
      <c r="G36" s="8">
        <f t="shared" si="1"/>
        <v>1220000</v>
      </c>
      <c r="H36" s="3"/>
    </row>
    <row r="37" spans="2:8" ht="13" x14ac:dyDescent="0.15">
      <c r="B37" s="2">
        <v>46153</v>
      </c>
      <c r="C37" s="3" t="s">
        <v>8</v>
      </c>
      <c r="D37" s="3" t="s">
        <v>253</v>
      </c>
      <c r="E37" s="5">
        <v>3</v>
      </c>
      <c r="F37" s="6">
        <v>12000</v>
      </c>
      <c r="G37" s="8">
        <f t="shared" si="1"/>
        <v>36000</v>
      </c>
      <c r="H37" s="3"/>
    </row>
    <row r="38" spans="2:8" ht="13" x14ac:dyDescent="0.15">
      <c r="B38" s="2">
        <v>46153</v>
      </c>
      <c r="C38" s="3" t="s">
        <v>8</v>
      </c>
      <c r="D38" s="3" t="s">
        <v>254</v>
      </c>
      <c r="E38" s="5">
        <v>5</v>
      </c>
      <c r="F38" s="6">
        <v>13000</v>
      </c>
      <c r="G38" s="8">
        <f t="shared" si="1"/>
        <v>65000</v>
      </c>
      <c r="H38" s="3"/>
    </row>
    <row r="39" spans="2:8" ht="13" x14ac:dyDescent="0.15">
      <c r="B39" s="2">
        <v>46155</v>
      </c>
      <c r="C39" s="3" t="s">
        <v>8</v>
      </c>
      <c r="D39" s="3" t="s">
        <v>255</v>
      </c>
      <c r="E39" s="5">
        <v>1</v>
      </c>
      <c r="F39" s="6">
        <v>45000</v>
      </c>
      <c r="G39" s="8">
        <f t="shared" si="1"/>
        <v>45000</v>
      </c>
      <c r="H39" s="3"/>
    </row>
    <row r="40" spans="2:8" ht="13" x14ac:dyDescent="0.15">
      <c r="B40" s="2"/>
      <c r="C40" s="3"/>
      <c r="D40" s="3" t="s">
        <v>158</v>
      </c>
      <c r="E40" s="5">
        <v>2</v>
      </c>
      <c r="F40" s="6">
        <v>30000</v>
      </c>
      <c r="G40" s="8">
        <f t="shared" si="1"/>
        <v>60000</v>
      </c>
      <c r="H40" s="3"/>
    </row>
    <row r="41" spans="2:8" ht="13" x14ac:dyDescent="0.15">
      <c r="B41" s="2"/>
      <c r="C41" s="3"/>
      <c r="D41" s="3" t="s">
        <v>256</v>
      </c>
      <c r="E41" s="5">
        <v>1</v>
      </c>
      <c r="F41" s="6">
        <v>20000</v>
      </c>
      <c r="G41" s="8">
        <f t="shared" si="1"/>
        <v>20000</v>
      </c>
      <c r="H41" s="3"/>
    </row>
    <row r="42" spans="2:8" ht="13" x14ac:dyDescent="0.15">
      <c r="B42" s="2"/>
      <c r="C42" s="3"/>
      <c r="D42" s="3" t="s">
        <v>11</v>
      </c>
      <c r="E42" s="5">
        <v>1</v>
      </c>
      <c r="F42" s="6">
        <v>20000</v>
      </c>
      <c r="G42" s="8">
        <f t="shared" si="1"/>
        <v>20000</v>
      </c>
      <c r="H42" s="3"/>
    </row>
    <row r="43" spans="2:8" ht="13" x14ac:dyDescent="0.15">
      <c r="B43" s="9">
        <v>46155</v>
      </c>
      <c r="C43" s="10" t="s">
        <v>8</v>
      </c>
      <c r="D43" s="10" t="s">
        <v>258</v>
      </c>
      <c r="E43" s="11">
        <v>1</v>
      </c>
      <c r="F43" s="12">
        <v>20000</v>
      </c>
      <c r="G43" s="8">
        <f t="shared" si="1"/>
        <v>20000</v>
      </c>
      <c r="H43" s="10"/>
    </row>
    <row r="44" spans="2:8" ht="13" x14ac:dyDescent="0.15">
      <c r="B44" s="9"/>
      <c r="C44" s="10"/>
      <c r="D44" s="10" t="s">
        <v>261</v>
      </c>
      <c r="E44" s="11">
        <v>1</v>
      </c>
      <c r="F44" s="12">
        <v>2000</v>
      </c>
      <c r="G44" s="8">
        <f t="shared" si="1"/>
        <v>2000</v>
      </c>
      <c r="H44" s="10"/>
    </row>
    <row r="45" spans="2:8" ht="13" x14ac:dyDescent="0.15">
      <c r="B45" s="9">
        <v>46155</v>
      </c>
      <c r="C45" s="10" t="s">
        <v>8</v>
      </c>
      <c r="D45" s="10" t="s">
        <v>16</v>
      </c>
      <c r="E45" s="11">
        <v>15</v>
      </c>
      <c r="F45" s="12">
        <v>61000</v>
      </c>
      <c r="G45" s="8">
        <f t="shared" si="1"/>
        <v>915000</v>
      </c>
      <c r="H45" s="10"/>
    </row>
    <row r="46" spans="2:8" ht="13" x14ac:dyDescent="0.15">
      <c r="B46" s="9"/>
      <c r="C46" s="10"/>
      <c r="D46" s="10" t="s">
        <v>204</v>
      </c>
      <c r="E46" s="11">
        <v>15</v>
      </c>
      <c r="F46" s="12">
        <v>25000</v>
      </c>
      <c r="G46" s="8">
        <f t="shared" si="1"/>
        <v>375000</v>
      </c>
      <c r="H46" s="10"/>
    </row>
    <row r="47" spans="2:8" ht="13" x14ac:dyDescent="0.15">
      <c r="B47" s="9"/>
      <c r="C47" s="10"/>
      <c r="D47" s="10" t="s">
        <v>164</v>
      </c>
      <c r="E47" s="11">
        <v>15</v>
      </c>
      <c r="F47" s="12">
        <v>9000</v>
      </c>
      <c r="G47" s="8">
        <f t="shared" si="1"/>
        <v>135000</v>
      </c>
      <c r="H47" s="10"/>
    </row>
    <row r="48" spans="2:8" ht="13" x14ac:dyDescent="0.15">
      <c r="B48" s="9">
        <v>46155</v>
      </c>
      <c r="C48" s="10" t="s">
        <v>19</v>
      </c>
      <c r="D48" s="10" t="s">
        <v>23</v>
      </c>
      <c r="E48" s="11">
        <v>10</v>
      </c>
      <c r="F48" s="8">
        <v>1837500</v>
      </c>
      <c r="G48" s="8">
        <f t="shared" si="1"/>
        <v>18375000</v>
      </c>
      <c r="H48" s="10"/>
    </row>
    <row r="49" spans="2:8" ht="13" x14ac:dyDescent="0.15">
      <c r="B49" s="9"/>
      <c r="C49" s="10"/>
      <c r="D49" s="10" t="s">
        <v>20</v>
      </c>
      <c r="E49" s="11">
        <v>2</v>
      </c>
      <c r="F49" s="8">
        <v>3320000</v>
      </c>
      <c r="G49" s="8">
        <f t="shared" si="1"/>
        <v>6640000</v>
      </c>
      <c r="H49" s="10"/>
    </row>
    <row r="50" spans="2:8" ht="13" x14ac:dyDescent="0.15">
      <c r="B50" s="9"/>
      <c r="C50" s="10"/>
      <c r="D50" s="10" t="s">
        <v>29</v>
      </c>
      <c r="E50" s="11">
        <v>2</v>
      </c>
      <c r="F50" s="8">
        <v>2455000</v>
      </c>
      <c r="G50" s="8">
        <f t="shared" si="1"/>
        <v>4910000</v>
      </c>
      <c r="H50" s="10"/>
    </row>
    <row r="51" spans="2:8" ht="13" x14ac:dyDescent="0.15">
      <c r="B51" s="9">
        <v>46155</v>
      </c>
      <c r="C51" s="10" t="s">
        <v>63</v>
      </c>
      <c r="D51" s="10" t="s">
        <v>265</v>
      </c>
      <c r="E51" s="11">
        <v>100</v>
      </c>
      <c r="F51" s="8">
        <v>130000</v>
      </c>
      <c r="G51" s="8">
        <f t="shared" si="1"/>
        <v>13000000</v>
      </c>
      <c r="H51" s="10"/>
    </row>
    <row r="52" spans="2:8" ht="13" x14ac:dyDescent="0.15">
      <c r="B52" s="9">
        <v>46157</v>
      </c>
      <c r="C52" s="10" t="s">
        <v>14</v>
      </c>
      <c r="D52" s="10" t="s">
        <v>15</v>
      </c>
      <c r="E52" s="11">
        <v>1</v>
      </c>
      <c r="F52" s="8">
        <v>2600000</v>
      </c>
      <c r="G52" s="8">
        <f t="shared" si="1"/>
        <v>2600000</v>
      </c>
      <c r="H52" s="10"/>
    </row>
    <row r="53" spans="2:8" ht="13" x14ac:dyDescent="0.15">
      <c r="B53" s="9">
        <v>46159</v>
      </c>
      <c r="C53" s="10" t="s">
        <v>8</v>
      </c>
      <c r="D53" s="10" t="s">
        <v>38</v>
      </c>
      <c r="E53" s="11">
        <v>700</v>
      </c>
      <c r="F53" s="8">
        <v>3300</v>
      </c>
      <c r="G53" s="8">
        <f t="shared" si="1"/>
        <v>2310000</v>
      </c>
      <c r="H53" s="10"/>
    </row>
    <row r="54" spans="2:8" ht="13" x14ac:dyDescent="0.15">
      <c r="B54" s="9">
        <v>46159</v>
      </c>
      <c r="C54" s="10" t="s">
        <v>8</v>
      </c>
      <c r="D54" s="10" t="s">
        <v>16</v>
      </c>
      <c r="E54" s="11">
        <v>20</v>
      </c>
      <c r="F54" s="8">
        <v>62000</v>
      </c>
      <c r="G54" s="8">
        <f t="shared" si="1"/>
        <v>1240000</v>
      </c>
      <c r="H54" s="10"/>
    </row>
    <row r="55" spans="2:8" ht="13" x14ac:dyDescent="0.15">
      <c r="B55" s="9"/>
      <c r="C55" s="10"/>
      <c r="D55" s="10" t="s">
        <v>9</v>
      </c>
      <c r="E55" s="11">
        <v>10</v>
      </c>
      <c r="F55" s="8">
        <v>74500</v>
      </c>
      <c r="G55" s="8">
        <f t="shared" si="1"/>
        <v>745000</v>
      </c>
      <c r="H55" s="10"/>
    </row>
    <row r="56" spans="2:8" ht="13" x14ac:dyDescent="0.15">
      <c r="B56" s="9"/>
      <c r="C56" s="10"/>
      <c r="D56" s="10" t="s">
        <v>268</v>
      </c>
      <c r="E56" s="11">
        <v>1</v>
      </c>
      <c r="F56" s="8">
        <v>50000</v>
      </c>
      <c r="G56" s="8">
        <f t="shared" si="1"/>
        <v>50000</v>
      </c>
      <c r="H56" s="10"/>
    </row>
    <row r="57" spans="2:8" ht="13" x14ac:dyDescent="0.15">
      <c r="B57" s="9">
        <v>46161</v>
      </c>
      <c r="C57" s="10" t="s">
        <v>44</v>
      </c>
      <c r="D57" s="10" t="s">
        <v>46</v>
      </c>
      <c r="E57" s="11">
        <v>4</v>
      </c>
      <c r="F57" s="12">
        <v>30000</v>
      </c>
      <c r="G57" s="8">
        <f t="shared" si="1"/>
        <v>120000</v>
      </c>
      <c r="H57" s="10"/>
    </row>
    <row r="58" spans="2:8" ht="13" x14ac:dyDescent="0.15">
      <c r="B58" s="9">
        <v>46162</v>
      </c>
      <c r="C58" s="10" t="s">
        <v>8</v>
      </c>
      <c r="D58" s="10" t="s">
        <v>269</v>
      </c>
      <c r="E58" s="11">
        <v>2</v>
      </c>
      <c r="F58" s="12">
        <v>4000</v>
      </c>
      <c r="G58" s="8">
        <f t="shared" si="1"/>
        <v>8000</v>
      </c>
      <c r="H58" s="10"/>
    </row>
    <row r="59" spans="2:8" ht="13" x14ac:dyDescent="0.15">
      <c r="B59" s="9"/>
      <c r="C59" s="10"/>
      <c r="D59" s="10" t="s">
        <v>10</v>
      </c>
      <c r="E59" s="11">
        <v>1</v>
      </c>
      <c r="F59" s="12">
        <v>450000</v>
      </c>
      <c r="G59" s="8">
        <f t="shared" si="1"/>
        <v>450000</v>
      </c>
      <c r="H59" s="10"/>
    </row>
    <row r="60" spans="2:8" ht="13" x14ac:dyDescent="0.15">
      <c r="B60" s="9"/>
      <c r="C60" s="10"/>
      <c r="D60" s="10" t="s">
        <v>25</v>
      </c>
      <c r="E60" s="11">
        <v>1</v>
      </c>
      <c r="F60" s="12">
        <v>100000</v>
      </c>
      <c r="G60" s="8">
        <f t="shared" si="1"/>
        <v>100000</v>
      </c>
      <c r="H60" s="10"/>
    </row>
    <row r="61" spans="2:8" ht="13" x14ac:dyDescent="0.15">
      <c r="B61" s="9">
        <v>46162</v>
      </c>
      <c r="C61" s="10" t="s">
        <v>8</v>
      </c>
      <c r="D61" s="10" t="s">
        <v>270</v>
      </c>
      <c r="E61" s="11">
        <v>25</v>
      </c>
      <c r="F61" s="12">
        <v>16000</v>
      </c>
      <c r="G61" s="8">
        <f t="shared" si="1"/>
        <v>400000</v>
      </c>
      <c r="H61" s="10"/>
    </row>
    <row r="62" spans="2:8" ht="13" x14ac:dyDescent="0.15">
      <c r="B62" s="9"/>
      <c r="C62" s="10"/>
      <c r="D62" s="10" t="s">
        <v>271</v>
      </c>
      <c r="E62" s="11">
        <v>1</v>
      </c>
      <c r="F62" s="12">
        <v>15000</v>
      </c>
      <c r="G62" s="8">
        <f t="shared" si="1"/>
        <v>15000</v>
      </c>
      <c r="H62" s="10"/>
    </row>
    <row r="63" spans="2:8" ht="13" x14ac:dyDescent="0.15">
      <c r="B63" s="9"/>
      <c r="C63" s="10"/>
      <c r="D63" s="10" t="s">
        <v>272</v>
      </c>
      <c r="E63" s="11">
        <v>1</v>
      </c>
      <c r="F63" s="12">
        <v>15000</v>
      </c>
      <c r="G63" s="8">
        <f t="shared" si="1"/>
        <v>15000</v>
      </c>
      <c r="H63" s="10"/>
    </row>
    <row r="64" spans="2:8" ht="13" x14ac:dyDescent="0.15">
      <c r="B64" s="9">
        <v>46163</v>
      </c>
      <c r="C64" s="10" t="s">
        <v>8</v>
      </c>
      <c r="D64" s="10" t="s">
        <v>16</v>
      </c>
      <c r="E64" s="11">
        <v>20</v>
      </c>
      <c r="F64" s="12">
        <v>62000</v>
      </c>
      <c r="G64" s="8">
        <f t="shared" si="1"/>
        <v>1240000</v>
      </c>
      <c r="H64" s="10"/>
    </row>
    <row r="65" spans="2:8" ht="13" x14ac:dyDescent="0.15">
      <c r="B65" s="9"/>
      <c r="C65" s="10"/>
      <c r="D65" s="10" t="s">
        <v>204</v>
      </c>
      <c r="E65" s="11">
        <v>10</v>
      </c>
      <c r="F65" s="12">
        <v>25000</v>
      </c>
      <c r="G65" s="8">
        <f t="shared" si="1"/>
        <v>250000</v>
      </c>
      <c r="H65" s="10"/>
    </row>
    <row r="66" spans="2:8" ht="13" x14ac:dyDescent="0.15">
      <c r="B66" s="9">
        <v>46164</v>
      </c>
      <c r="C66" s="10" t="s">
        <v>8</v>
      </c>
      <c r="D66" s="10" t="s">
        <v>164</v>
      </c>
      <c r="E66" s="11">
        <v>15</v>
      </c>
      <c r="F66" s="12">
        <v>9000</v>
      </c>
      <c r="G66" s="8">
        <f t="shared" si="1"/>
        <v>135000</v>
      </c>
      <c r="H66" s="10"/>
    </row>
    <row r="67" spans="2:8" ht="13" x14ac:dyDescent="0.15">
      <c r="B67" s="9">
        <v>46164</v>
      </c>
      <c r="C67" s="10" t="s">
        <v>14</v>
      </c>
      <c r="D67" s="10" t="s">
        <v>43</v>
      </c>
      <c r="E67" s="11">
        <v>1</v>
      </c>
      <c r="F67" s="12">
        <v>2800000</v>
      </c>
      <c r="G67" s="8">
        <f t="shared" si="1"/>
        <v>2800000</v>
      </c>
      <c r="H67" s="10"/>
    </row>
    <row r="68" spans="2:8" ht="13" x14ac:dyDescent="0.15">
      <c r="B68" s="9">
        <v>46164</v>
      </c>
      <c r="C68" s="10" t="s">
        <v>14</v>
      </c>
      <c r="D68" s="10" t="s">
        <v>15</v>
      </c>
      <c r="E68" s="11">
        <v>1</v>
      </c>
      <c r="F68" s="12">
        <v>2600000</v>
      </c>
      <c r="G68" s="8">
        <f t="shared" si="1"/>
        <v>2600000</v>
      </c>
      <c r="H68" s="10"/>
    </row>
    <row r="69" spans="2:8" ht="13" x14ac:dyDescent="0.15">
      <c r="B69" s="9">
        <v>46167</v>
      </c>
      <c r="C69" s="10" t="s">
        <v>8</v>
      </c>
      <c r="D69" s="10" t="s">
        <v>275</v>
      </c>
      <c r="E69" s="11">
        <v>1</v>
      </c>
      <c r="F69" s="12">
        <v>35000</v>
      </c>
      <c r="G69" s="8">
        <f t="shared" si="1"/>
        <v>35000</v>
      </c>
      <c r="H69" s="10"/>
    </row>
    <row r="70" spans="2:8" ht="13" x14ac:dyDescent="0.15">
      <c r="B70" s="9"/>
      <c r="C70" s="10"/>
      <c r="D70" s="10" t="s">
        <v>276</v>
      </c>
      <c r="E70" s="11">
        <v>1</v>
      </c>
      <c r="F70" s="12">
        <v>30000</v>
      </c>
      <c r="G70" s="8">
        <f t="shared" si="1"/>
        <v>30000</v>
      </c>
      <c r="H70" s="10"/>
    </row>
    <row r="71" spans="2:8" ht="13" x14ac:dyDescent="0.15">
      <c r="B71" s="9"/>
      <c r="C71" s="10"/>
      <c r="D71" s="10" t="s">
        <v>279</v>
      </c>
      <c r="E71" s="11">
        <v>2</v>
      </c>
      <c r="F71" s="12">
        <v>25000</v>
      </c>
      <c r="G71" s="8">
        <f t="shared" si="1"/>
        <v>50000</v>
      </c>
      <c r="H71" s="10"/>
    </row>
    <row r="72" spans="2:8" ht="13" x14ac:dyDescent="0.15">
      <c r="B72" s="9"/>
      <c r="C72" s="10"/>
      <c r="D72" s="10" t="s">
        <v>281</v>
      </c>
      <c r="E72" s="11">
        <v>2</v>
      </c>
      <c r="F72" s="12">
        <v>15000</v>
      </c>
      <c r="G72" s="8">
        <f t="shared" si="1"/>
        <v>30000</v>
      </c>
      <c r="H72" s="10"/>
    </row>
    <row r="73" spans="2:8" ht="13" x14ac:dyDescent="0.15">
      <c r="B73" s="9">
        <v>46167</v>
      </c>
      <c r="C73" s="10" t="s">
        <v>8</v>
      </c>
      <c r="D73" s="10" t="s">
        <v>16</v>
      </c>
      <c r="E73" s="11">
        <v>20</v>
      </c>
      <c r="F73" s="12">
        <v>62000</v>
      </c>
      <c r="G73" s="8">
        <f t="shared" si="1"/>
        <v>1240000</v>
      </c>
      <c r="H73" s="10"/>
    </row>
    <row r="74" spans="2:8" ht="13" x14ac:dyDescent="0.15">
      <c r="B74" s="9">
        <v>46167</v>
      </c>
      <c r="C74" s="10" t="s">
        <v>277</v>
      </c>
      <c r="D74" s="10" t="s">
        <v>283</v>
      </c>
      <c r="E74" s="11">
        <v>1</v>
      </c>
      <c r="F74" s="12">
        <v>1080000</v>
      </c>
      <c r="G74" s="8">
        <f t="shared" si="1"/>
        <v>1080000</v>
      </c>
      <c r="H74" s="10"/>
    </row>
    <row r="75" spans="2:8" ht="13" x14ac:dyDescent="0.15">
      <c r="B75" s="9">
        <v>46168</v>
      </c>
      <c r="C75" s="10" t="s">
        <v>8</v>
      </c>
      <c r="D75" s="10" t="s">
        <v>207</v>
      </c>
      <c r="E75" s="11">
        <v>1</v>
      </c>
      <c r="F75" s="12">
        <v>85000</v>
      </c>
      <c r="G75" s="8">
        <f t="shared" si="1"/>
        <v>85000</v>
      </c>
      <c r="H75" s="10"/>
    </row>
    <row r="76" spans="2:8" ht="13" x14ac:dyDescent="0.15">
      <c r="B76" s="9"/>
      <c r="C76" s="10"/>
      <c r="D76" s="10" t="s">
        <v>285</v>
      </c>
      <c r="E76" s="11">
        <v>1</v>
      </c>
      <c r="F76" s="12">
        <v>45000</v>
      </c>
      <c r="G76" s="8">
        <f t="shared" si="1"/>
        <v>45000</v>
      </c>
      <c r="H76" s="10"/>
    </row>
    <row r="77" spans="2:8" ht="13" x14ac:dyDescent="0.15">
      <c r="B77" s="9"/>
      <c r="C77" s="10"/>
      <c r="D77" s="10" t="s">
        <v>287</v>
      </c>
      <c r="E77" s="11">
        <v>1</v>
      </c>
      <c r="F77" s="12">
        <v>45000</v>
      </c>
      <c r="G77" s="8">
        <f t="shared" si="1"/>
        <v>45000</v>
      </c>
      <c r="H77" s="10"/>
    </row>
    <row r="78" spans="2:8" ht="13" x14ac:dyDescent="0.15">
      <c r="B78" s="9"/>
      <c r="C78" s="10"/>
      <c r="D78" s="10" t="s">
        <v>292</v>
      </c>
      <c r="E78" s="11">
        <v>2</v>
      </c>
      <c r="F78" s="12">
        <v>12000</v>
      </c>
      <c r="G78" s="8">
        <f t="shared" si="1"/>
        <v>24000</v>
      </c>
      <c r="H78" s="10"/>
    </row>
    <row r="79" spans="2:8" ht="13" x14ac:dyDescent="0.15">
      <c r="B79" s="9"/>
      <c r="C79" s="10"/>
      <c r="D79" s="10" t="s">
        <v>295</v>
      </c>
      <c r="E79" s="11">
        <v>1</v>
      </c>
      <c r="F79" s="12">
        <v>30000</v>
      </c>
      <c r="G79" s="8">
        <f t="shared" si="1"/>
        <v>30000</v>
      </c>
      <c r="H79" s="10"/>
    </row>
    <row r="80" spans="2:8" ht="13" x14ac:dyDescent="0.15">
      <c r="B80" s="9">
        <v>46168</v>
      </c>
      <c r="C80" s="10" t="s">
        <v>8</v>
      </c>
      <c r="D80" s="10" t="s">
        <v>296</v>
      </c>
      <c r="E80" s="11">
        <v>1</v>
      </c>
      <c r="F80" s="12">
        <v>20000</v>
      </c>
      <c r="G80" s="8">
        <f t="shared" si="1"/>
        <v>20000</v>
      </c>
      <c r="H80" s="10"/>
    </row>
    <row r="81" spans="2:8" ht="13" x14ac:dyDescent="0.15">
      <c r="B81" s="9"/>
      <c r="C81" s="10"/>
      <c r="D81" s="10" t="s">
        <v>299</v>
      </c>
      <c r="E81" s="11">
        <v>2</v>
      </c>
      <c r="F81" s="12">
        <v>12000</v>
      </c>
      <c r="G81" s="8">
        <f t="shared" si="1"/>
        <v>24000</v>
      </c>
      <c r="H81" s="10"/>
    </row>
    <row r="82" spans="2:8" ht="13" x14ac:dyDescent="0.15">
      <c r="B82" s="9">
        <v>46169</v>
      </c>
      <c r="C82" s="10" t="s">
        <v>231</v>
      </c>
      <c r="D82" s="10" t="s">
        <v>232</v>
      </c>
      <c r="E82" s="11">
        <v>60</v>
      </c>
      <c r="F82" s="12">
        <v>50000</v>
      </c>
      <c r="G82" s="8">
        <f t="shared" si="1"/>
        <v>3000000</v>
      </c>
      <c r="H82" s="10"/>
    </row>
    <row r="83" spans="2:8" ht="13" x14ac:dyDescent="0.15">
      <c r="B83" s="9">
        <v>46169</v>
      </c>
      <c r="C83" s="10" t="s">
        <v>14</v>
      </c>
      <c r="D83" s="10" t="s">
        <v>15</v>
      </c>
      <c r="E83" s="11">
        <v>1</v>
      </c>
      <c r="F83" s="12">
        <v>2600000</v>
      </c>
      <c r="G83" s="8">
        <f t="shared" si="1"/>
        <v>2600000</v>
      </c>
      <c r="H83" s="10"/>
    </row>
    <row r="84" spans="2:8" ht="13" x14ac:dyDescent="0.15">
      <c r="B84" s="9">
        <v>46170</v>
      </c>
      <c r="C84" s="10" t="s">
        <v>8</v>
      </c>
      <c r="D84" s="10" t="s">
        <v>204</v>
      </c>
      <c r="E84" s="11">
        <v>15</v>
      </c>
      <c r="F84" s="12">
        <v>24000</v>
      </c>
      <c r="G84" s="8">
        <f t="shared" si="1"/>
        <v>360000</v>
      </c>
      <c r="H84" s="10"/>
    </row>
    <row r="85" spans="2:8" ht="13" x14ac:dyDescent="0.15">
      <c r="B85" s="9"/>
      <c r="C85" s="10"/>
      <c r="D85" s="10" t="s">
        <v>21</v>
      </c>
      <c r="E85" s="11">
        <v>15</v>
      </c>
      <c r="F85" s="12">
        <v>76000</v>
      </c>
      <c r="G85" s="8">
        <f t="shared" si="1"/>
        <v>1140000</v>
      </c>
      <c r="H85" s="10"/>
    </row>
    <row r="86" spans="2:8" ht="13" x14ac:dyDescent="0.15">
      <c r="B86" s="9"/>
      <c r="C86" s="10"/>
      <c r="D86" s="10" t="s">
        <v>303</v>
      </c>
      <c r="E86" s="11">
        <v>1</v>
      </c>
      <c r="F86" s="12">
        <v>520000</v>
      </c>
      <c r="G86" s="8">
        <f t="shared" si="1"/>
        <v>520000</v>
      </c>
      <c r="H86" s="10"/>
    </row>
    <row r="87" spans="2:8" ht="13" x14ac:dyDescent="0.15">
      <c r="B87" s="9"/>
      <c r="C87" s="10"/>
      <c r="D87" s="10" t="s">
        <v>25</v>
      </c>
      <c r="E87" s="11">
        <v>1</v>
      </c>
      <c r="F87" s="12">
        <v>100000</v>
      </c>
      <c r="G87" s="8">
        <f t="shared" si="1"/>
        <v>100000</v>
      </c>
      <c r="H87" s="10"/>
    </row>
    <row r="88" spans="2:8" ht="13" x14ac:dyDescent="0.15">
      <c r="B88" s="9"/>
      <c r="C88" s="10"/>
      <c r="D88" s="10" t="s">
        <v>306</v>
      </c>
      <c r="E88" s="11">
        <v>2</v>
      </c>
      <c r="F88" s="12">
        <v>35000</v>
      </c>
      <c r="G88" s="8">
        <f t="shared" si="1"/>
        <v>70000</v>
      </c>
      <c r="H88" s="10"/>
    </row>
    <row r="89" spans="2:8" ht="13" x14ac:dyDescent="0.15">
      <c r="B89" s="9">
        <v>46170</v>
      </c>
      <c r="C89" s="10" t="s">
        <v>277</v>
      </c>
      <c r="D89" s="10" t="s">
        <v>283</v>
      </c>
      <c r="E89" s="11">
        <v>1</v>
      </c>
      <c r="F89" s="12">
        <v>1080000</v>
      </c>
      <c r="G89" s="8">
        <f t="shared" si="1"/>
        <v>1080000</v>
      </c>
      <c r="H89" s="10"/>
    </row>
    <row r="90" spans="2:8" ht="13" x14ac:dyDescent="0.15">
      <c r="B90" s="9">
        <v>46172</v>
      </c>
      <c r="C90" s="10" t="s">
        <v>8</v>
      </c>
      <c r="D90" s="10" t="s">
        <v>16</v>
      </c>
      <c r="E90" s="11">
        <v>20</v>
      </c>
      <c r="F90" s="12">
        <v>62000</v>
      </c>
      <c r="G90" s="8">
        <f t="shared" si="1"/>
        <v>1240000</v>
      </c>
      <c r="H90" s="10"/>
    </row>
    <row r="91" spans="2:8" ht="13" x14ac:dyDescent="0.15">
      <c r="B91" s="9"/>
      <c r="C91" s="10"/>
      <c r="D91" s="10" t="s">
        <v>9</v>
      </c>
      <c r="E91" s="11">
        <v>10</v>
      </c>
      <c r="F91" s="12">
        <v>75000</v>
      </c>
      <c r="G91" s="8">
        <f t="shared" si="1"/>
        <v>750000</v>
      </c>
      <c r="H91" s="10"/>
    </row>
    <row r="92" spans="2:8" ht="13" x14ac:dyDescent="0.15">
      <c r="B92" s="9"/>
      <c r="C92" s="10"/>
      <c r="D92" s="10" t="s">
        <v>308</v>
      </c>
      <c r="E92" s="11">
        <v>2</v>
      </c>
      <c r="F92" s="12">
        <v>12000</v>
      </c>
      <c r="G92" s="8">
        <f t="shared" si="1"/>
        <v>24000</v>
      </c>
      <c r="H92" s="10"/>
    </row>
    <row r="93" spans="2:8" ht="13" x14ac:dyDescent="0.15">
      <c r="B93" s="9"/>
      <c r="C93" s="10"/>
      <c r="D93" s="10" t="s">
        <v>198</v>
      </c>
      <c r="E93" s="11">
        <v>2</v>
      </c>
      <c r="F93" s="12">
        <v>12000</v>
      </c>
      <c r="G93" s="8">
        <f t="shared" si="1"/>
        <v>24000</v>
      </c>
      <c r="H93" s="10"/>
    </row>
    <row r="94" spans="2:8" ht="13" x14ac:dyDescent="0.15">
      <c r="B94" s="9"/>
      <c r="C94" s="10"/>
      <c r="D94" s="10" t="s">
        <v>309</v>
      </c>
      <c r="E94" s="11">
        <v>2</v>
      </c>
      <c r="F94" s="12">
        <v>40000</v>
      </c>
      <c r="G94" s="8">
        <f t="shared" si="1"/>
        <v>80000</v>
      </c>
      <c r="H94" s="10"/>
    </row>
    <row r="95" spans="2:8" ht="13" x14ac:dyDescent="0.15">
      <c r="B95" s="9">
        <v>46172</v>
      </c>
      <c r="C95" s="10" t="s">
        <v>119</v>
      </c>
      <c r="D95" s="10" t="s">
        <v>312</v>
      </c>
      <c r="E95" s="11">
        <v>2</v>
      </c>
      <c r="F95" s="12">
        <v>20000</v>
      </c>
      <c r="G95" s="8">
        <f t="shared" si="1"/>
        <v>40000</v>
      </c>
      <c r="H95" s="10"/>
    </row>
    <row r="96" spans="2:8" ht="13" x14ac:dyDescent="0.15">
      <c r="B96" s="9"/>
      <c r="C96" s="10"/>
      <c r="D96" s="10"/>
      <c r="E96" s="11"/>
      <c r="F96" s="12"/>
      <c r="G96" s="8">
        <f t="shared" si="1"/>
        <v>0</v>
      </c>
      <c r="H96" s="10"/>
    </row>
    <row r="97" spans="2:8" ht="13" x14ac:dyDescent="0.15">
      <c r="B97" s="9"/>
      <c r="C97" s="10"/>
      <c r="D97" s="10"/>
      <c r="E97" s="11"/>
      <c r="F97" s="12"/>
      <c r="G97" s="8">
        <f t="shared" si="1"/>
        <v>0</v>
      </c>
      <c r="H97" s="10"/>
    </row>
    <row r="98" spans="2:8" ht="13" x14ac:dyDescent="0.15">
      <c r="B98" s="9"/>
      <c r="C98" s="10"/>
      <c r="D98" s="10"/>
      <c r="E98" s="11"/>
      <c r="F98" s="12"/>
      <c r="G98" s="8">
        <f t="shared" si="1"/>
        <v>0</v>
      </c>
      <c r="H98" s="10"/>
    </row>
    <row r="99" spans="2:8" ht="13" x14ac:dyDescent="0.15">
      <c r="B99" s="9"/>
      <c r="C99" s="10"/>
      <c r="D99" s="10"/>
      <c r="E99" s="11"/>
      <c r="F99" s="12"/>
      <c r="G99" s="8">
        <f t="shared" si="1"/>
        <v>0</v>
      </c>
      <c r="H99" s="10"/>
    </row>
    <row r="100" spans="2:8" ht="13" x14ac:dyDescent="0.15">
      <c r="B100" s="9"/>
      <c r="C100" s="10"/>
      <c r="D100" s="10"/>
      <c r="E100" s="11"/>
      <c r="F100" s="12"/>
      <c r="G100" s="8">
        <f t="shared" si="1"/>
        <v>0</v>
      </c>
      <c r="H100" s="10"/>
    </row>
    <row r="101" spans="2:8" ht="13" x14ac:dyDescent="0.15">
      <c r="B101" s="9"/>
      <c r="C101" s="10" t="s">
        <v>316</v>
      </c>
      <c r="D101" s="10" t="s">
        <v>317</v>
      </c>
      <c r="E101" s="11">
        <v>1</v>
      </c>
      <c r="F101" s="12">
        <v>1100000</v>
      </c>
      <c r="G101" s="8">
        <f t="shared" si="1"/>
        <v>1100000</v>
      </c>
      <c r="H101" s="10"/>
    </row>
    <row r="102" spans="2:8" ht="13" x14ac:dyDescent="0.15">
      <c r="B102" s="9"/>
      <c r="C102" s="10" t="s">
        <v>320</v>
      </c>
      <c r="D102" s="10" t="s">
        <v>321</v>
      </c>
      <c r="E102" s="11">
        <v>2</v>
      </c>
      <c r="F102" s="12">
        <v>50000</v>
      </c>
      <c r="G102" s="8">
        <f t="shared" si="1"/>
        <v>100000</v>
      </c>
      <c r="H102" s="10"/>
    </row>
    <row r="103" spans="2:8" ht="13" x14ac:dyDescent="0.15">
      <c r="B103" s="9"/>
      <c r="C103" s="10"/>
      <c r="D103" s="10"/>
      <c r="E103" s="11"/>
      <c r="F103" s="12"/>
      <c r="G103" s="8">
        <f t="shared" si="1"/>
        <v>0</v>
      </c>
      <c r="H103" s="10"/>
    </row>
    <row r="104" spans="2:8" ht="13" x14ac:dyDescent="0.15">
      <c r="B104" s="9"/>
      <c r="C104" s="10"/>
      <c r="D104" s="10" t="s">
        <v>54</v>
      </c>
      <c r="E104" s="11">
        <v>1</v>
      </c>
      <c r="F104" s="12">
        <v>600000</v>
      </c>
      <c r="G104" s="8">
        <f t="shared" si="1"/>
        <v>600000</v>
      </c>
      <c r="H104" s="10"/>
    </row>
    <row r="105" spans="2:8" ht="13" x14ac:dyDescent="0.15">
      <c r="B105" s="13"/>
      <c r="C105" s="14"/>
      <c r="D105" s="14"/>
      <c r="E105" s="15"/>
      <c r="F105" s="16"/>
      <c r="G105" s="17"/>
      <c r="H105" s="14"/>
    </row>
    <row r="106" spans="2:8" ht="35.25" customHeight="1" x14ac:dyDescent="0.15">
      <c r="B106" s="26" t="s">
        <v>42</v>
      </c>
      <c r="C106" s="27"/>
      <c r="D106" s="27"/>
      <c r="E106" s="27"/>
      <c r="F106" s="28"/>
      <c r="G106" s="29">
        <f>SUM(G4:G104)</f>
        <v>101133180</v>
      </c>
      <c r="H106" s="28"/>
    </row>
  </sheetData>
  <mergeCells count="2">
    <mergeCell ref="B106:F106"/>
    <mergeCell ref="G106:H10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119"/>
  <sheetViews>
    <sheetView workbookViewId="0"/>
  </sheetViews>
  <sheetFormatPr baseColWidth="10" defaultColWidth="12.6640625" defaultRowHeight="15.75" customHeight="1" x14ac:dyDescent="0.15"/>
  <cols>
    <col min="3" max="3" width="25.6640625" customWidth="1"/>
    <col min="4" max="4" width="38.33203125" customWidth="1"/>
    <col min="6" max="6" width="25.5" customWidth="1"/>
    <col min="7" max="7" width="18.1640625" customWidth="1"/>
    <col min="8" max="8" width="35.6640625" customWidth="1"/>
  </cols>
  <sheetData>
    <row r="1" spans="1:8" ht="13" x14ac:dyDescent="0.15">
      <c r="A1" s="4" t="s">
        <v>7</v>
      </c>
    </row>
    <row r="3" spans="1:8" ht="42.75" customHeight="1" x14ac:dyDescent="0.1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 ht="13" x14ac:dyDescent="0.15">
      <c r="B4" s="2"/>
      <c r="C4" s="3"/>
      <c r="D4" s="3"/>
      <c r="E4" s="5"/>
      <c r="F4" s="6"/>
      <c r="G4" s="7"/>
      <c r="H4" s="3"/>
    </row>
    <row r="5" spans="1:8" ht="13" x14ac:dyDescent="0.15">
      <c r="B5" s="2">
        <v>46174</v>
      </c>
      <c r="C5" s="3" t="s">
        <v>8</v>
      </c>
      <c r="D5" s="3" t="s">
        <v>24</v>
      </c>
      <c r="E5" s="5">
        <v>1</v>
      </c>
      <c r="F5" s="6">
        <v>2800000</v>
      </c>
      <c r="G5" s="8">
        <f t="shared" ref="G5:G117" si="0">E5*F5</f>
        <v>2800000</v>
      </c>
      <c r="H5" s="3"/>
    </row>
    <row r="6" spans="1:8" ht="13" x14ac:dyDescent="0.15">
      <c r="B6" s="2">
        <v>46174</v>
      </c>
      <c r="C6" s="3" t="s">
        <v>231</v>
      </c>
      <c r="D6" s="3" t="s">
        <v>232</v>
      </c>
      <c r="E6" s="5">
        <v>45</v>
      </c>
      <c r="F6" s="6">
        <v>50000</v>
      </c>
      <c r="G6" s="8">
        <f t="shared" si="0"/>
        <v>2250000</v>
      </c>
      <c r="H6" s="3"/>
    </row>
    <row r="7" spans="1:8" ht="13" x14ac:dyDescent="0.15">
      <c r="B7" s="2">
        <v>46174</v>
      </c>
      <c r="C7" s="3" t="s">
        <v>235</v>
      </c>
      <c r="D7" s="3" t="s">
        <v>204</v>
      </c>
      <c r="E7" s="5">
        <v>13</v>
      </c>
      <c r="F7" s="6">
        <v>24000</v>
      </c>
      <c r="G7" s="8">
        <f t="shared" si="0"/>
        <v>312000</v>
      </c>
      <c r="H7" s="3"/>
    </row>
    <row r="8" spans="1:8" ht="13" x14ac:dyDescent="0.15">
      <c r="B8" s="2">
        <v>46176</v>
      </c>
      <c r="C8" s="3" t="s">
        <v>19</v>
      </c>
      <c r="D8" s="3" t="s">
        <v>23</v>
      </c>
      <c r="E8" s="5">
        <v>3</v>
      </c>
      <c r="F8" s="6">
        <v>1985000</v>
      </c>
      <c r="G8" s="8">
        <f t="shared" si="0"/>
        <v>5955000</v>
      </c>
      <c r="H8" s="3"/>
    </row>
    <row r="9" spans="1:8" ht="13" x14ac:dyDescent="0.15">
      <c r="B9" s="2"/>
      <c r="C9" s="3"/>
      <c r="D9" s="3" t="s">
        <v>36</v>
      </c>
      <c r="E9" s="5">
        <v>1</v>
      </c>
      <c r="F9" s="6">
        <v>2541250</v>
      </c>
      <c r="G9" s="8">
        <f t="shared" si="0"/>
        <v>2541250</v>
      </c>
      <c r="H9" s="3"/>
    </row>
    <row r="10" spans="1:8" ht="13" x14ac:dyDescent="0.15">
      <c r="B10" s="2"/>
      <c r="C10" s="3"/>
      <c r="D10" s="3" t="s">
        <v>20</v>
      </c>
      <c r="E10" s="5">
        <v>1</v>
      </c>
      <c r="F10" s="6">
        <v>3307500</v>
      </c>
      <c r="G10" s="8">
        <f t="shared" si="0"/>
        <v>3307500</v>
      </c>
      <c r="H10" s="3"/>
    </row>
    <row r="11" spans="1:8" ht="13" x14ac:dyDescent="0.15">
      <c r="B11" s="2">
        <v>46176</v>
      </c>
      <c r="C11" s="3" t="s">
        <v>8</v>
      </c>
      <c r="D11" s="3" t="s">
        <v>16</v>
      </c>
      <c r="E11" s="5">
        <v>20</v>
      </c>
      <c r="F11" s="6">
        <v>62000</v>
      </c>
      <c r="G11" s="8">
        <f t="shared" si="0"/>
        <v>1240000</v>
      </c>
      <c r="H11" s="3"/>
    </row>
    <row r="12" spans="1:8" ht="13" x14ac:dyDescent="0.15">
      <c r="B12" s="2"/>
      <c r="C12" s="3"/>
      <c r="D12" s="3" t="s">
        <v>40</v>
      </c>
      <c r="E12" s="5">
        <v>9</v>
      </c>
      <c r="F12" s="6">
        <v>75000</v>
      </c>
      <c r="G12" s="8">
        <f t="shared" si="0"/>
        <v>675000</v>
      </c>
      <c r="H12" s="3"/>
    </row>
    <row r="13" spans="1:8" ht="13" x14ac:dyDescent="0.15">
      <c r="B13" s="2"/>
      <c r="C13" s="3"/>
      <c r="D13" s="3" t="s">
        <v>241</v>
      </c>
      <c r="E13" s="5">
        <v>10</v>
      </c>
      <c r="F13" s="6">
        <v>29000</v>
      </c>
      <c r="G13" s="8">
        <f t="shared" si="0"/>
        <v>290000</v>
      </c>
      <c r="H13" s="3"/>
    </row>
    <row r="14" spans="1:8" ht="13" x14ac:dyDescent="0.15">
      <c r="B14" s="2"/>
      <c r="C14" s="3"/>
      <c r="D14" s="3" t="s">
        <v>11</v>
      </c>
      <c r="E14" s="5">
        <v>2</v>
      </c>
      <c r="F14" s="6">
        <v>20000</v>
      </c>
      <c r="G14" s="8">
        <f t="shared" si="0"/>
        <v>40000</v>
      </c>
      <c r="H14" s="3"/>
    </row>
    <row r="15" spans="1:8" ht="13" x14ac:dyDescent="0.15">
      <c r="B15" s="2">
        <v>46178</v>
      </c>
      <c r="C15" s="3" t="s">
        <v>242</v>
      </c>
      <c r="D15" s="3" t="s">
        <v>243</v>
      </c>
      <c r="E15" s="5">
        <v>1</v>
      </c>
      <c r="F15" s="6">
        <v>75000</v>
      </c>
      <c r="G15" s="8">
        <f t="shared" si="0"/>
        <v>75000</v>
      </c>
      <c r="H15" s="3"/>
    </row>
    <row r="16" spans="1:8" ht="13" x14ac:dyDescent="0.15">
      <c r="B16" s="2">
        <v>46178</v>
      </c>
      <c r="C16" s="3" t="s">
        <v>8</v>
      </c>
      <c r="D16" s="3" t="s">
        <v>50</v>
      </c>
      <c r="E16" s="5">
        <v>10</v>
      </c>
      <c r="F16" s="6">
        <v>116000</v>
      </c>
      <c r="G16" s="8">
        <f t="shared" si="0"/>
        <v>1160000</v>
      </c>
      <c r="H16" s="3"/>
    </row>
    <row r="17" spans="2:8" ht="13" x14ac:dyDescent="0.15">
      <c r="B17" s="2"/>
      <c r="C17" s="3"/>
      <c r="D17" s="3" t="s">
        <v>40</v>
      </c>
      <c r="E17" s="5">
        <v>10</v>
      </c>
      <c r="F17" s="6">
        <v>75000</v>
      </c>
      <c r="G17" s="8">
        <f t="shared" si="0"/>
        <v>750000</v>
      </c>
      <c r="H17" s="3"/>
    </row>
    <row r="18" spans="2:8" ht="13" x14ac:dyDescent="0.15">
      <c r="B18" s="2"/>
      <c r="C18" s="3"/>
      <c r="D18" s="3" t="s">
        <v>12</v>
      </c>
      <c r="E18" s="5">
        <v>1</v>
      </c>
      <c r="F18" s="6">
        <v>450000</v>
      </c>
      <c r="G18" s="8">
        <f t="shared" si="0"/>
        <v>450000</v>
      </c>
      <c r="H18" s="3"/>
    </row>
    <row r="19" spans="2:8" ht="13" x14ac:dyDescent="0.15">
      <c r="B19" s="2"/>
      <c r="C19" s="3"/>
      <c r="D19" s="3" t="s">
        <v>245</v>
      </c>
      <c r="E19" s="5">
        <v>1</v>
      </c>
      <c r="F19" s="6">
        <v>20000</v>
      </c>
      <c r="G19" s="8">
        <f t="shared" si="0"/>
        <v>20000</v>
      </c>
      <c r="H19" s="3"/>
    </row>
    <row r="20" spans="2:8" ht="13" x14ac:dyDescent="0.15">
      <c r="B20" s="2">
        <v>46179</v>
      </c>
      <c r="C20" s="3" t="s">
        <v>8</v>
      </c>
      <c r="D20" s="3" t="s">
        <v>16</v>
      </c>
      <c r="E20" s="5">
        <v>20</v>
      </c>
      <c r="F20" s="6">
        <v>62000</v>
      </c>
      <c r="G20" s="8">
        <f t="shared" si="0"/>
        <v>1240000</v>
      </c>
      <c r="H20" s="3"/>
    </row>
    <row r="21" spans="2:8" ht="13" x14ac:dyDescent="0.15">
      <c r="B21" s="2">
        <v>46181</v>
      </c>
      <c r="C21" s="3" t="s">
        <v>19</v>
      </c>
      <c r="D21" s="3" t="s">
        <v>23</v>
      </c>
      <c r="E21" s="5">
        <v>7</v>
      </c>
      <c r="F21" s="6">
        <v>1985000</v>
      </c>
      <c r="G21" s="8">
        <f t="shared" si="0"/>
        <v>13895000</v>
      </c>
      <c r="H21" s="3"/>
    </row>
    <row r="22" spans="2:8" ht="13" x14ac:dyDescent="0.15">
      <c r="B22" s="2"/>
      <c r="C22" s="3"/>
      <c r="D22" s="3" t="s">
        <v>29</v>
      </c>
      <c r="E22" s="5">
        <v>2</v>
      </c>
      <c r="F22" s="6">
        <v>2467500</v>
      </c>
      <c r="G22" s="8">
        <f t="shared" si="0"/>
        <v>4935000</v>
      </c>
      <c r="H22" s="3"/>
    </row>
    <row r="23" spans="2:8" ht="13" x14ac:dyDescent="0.15">
      <c r="B23" s="2"/>
      <c r="C23" s="3"/>
      <c r="D23" s="3" t="s">
        <v>37</v>
      </c>
      <c r="E23" s="5">
        <v>3</v>
      </c>
      <c r="F23" s="6">
        <v>2021250</v>
      </c>
      <c r="G23" s="8">
        <f t="shared" si="0"/>
        <v>6063750</v>
      </c>
      <c r="H23" s="3"/>
    </row>
    <row r="24" spans="2:8" ht="13" x14ac:dyDescent="0.15">
      <c r="B24" s="2"/>
      <c r="C24" s="3"/>
      <c r="D24" s="3" t="s">
        <v>20</v>
      </c>
      <c r="E24" s="5">
        <v>3</v>
      </c>
      <c r="F24" s="6">
        <v>3307500</v>
      </c>
      <c r="G24" s="8">
        <f t="shared" si="0"/>
        <v>9922500</v>
      </c>
      <c r="H24" s="3"/>
    </row>
    <row r="25" spans="2:8" ht="13" x14ac:dyDescent="0.15">
      <c r="B25" s="2">
        <v>46182</v>
      </c>
      <c r="C25" s="3" t="s">
        <v>8</v>
      </c>
      <c r="D25" s="3" t="s">
        <v>21</v>
      </c>
      <c r="E25" s="5">
        <v>15</v>
      </c>
      <c r="F25" s="6">
        <v>76000</v>
      </c>
      <c r="G25" s="8">
        <f t="shared" si="0"/>
        <v>1140000</v>
      </c>
      <c r="H25" s="3"/>
    </row>
    <row r="26" spans="2:8" ht="13" x14ac:dyDescent="0.15">
      <c r="B26" s="2"/>
      <c r="C26" s="3"/>
      <c r="D26" s="3" t="s">
        <v>204</v>
      </c>
      <c r="E26" s="5">
        <v>10</v>
      </c>
      <c r="F26" s="6">
        <v>25000</v>
      </c>
      <c r="G26" s="8">
        <f t="shared" si="0"/>
        <v>250000</v>
      </c>
      <c r="H26" s="3"/>
    </row>
    <row r="27" spans="2:8" ht="13" x14ac:dyDescent="0.15">
      <c r="B27" s="2"/>
      <c r="C27" s="3"/>
      <c r="D27" s="3" t="s">
        <v>257</v>
      </c>
      <c r="E27" s="5">
        <v>1</v>
      </c>
      <c r="F27" s="6">
        <v>15000</v>
      </c>
      <c r="G27" s="8">
        <f t="shared" si="0"/>
        <v>15000</v>
      </c>
      <c r="H27" s="3"/>
    </row>
    <row r="28" spans="2:8" ht="13" x14ac:dyDescent="0.15">
      <c r="B28" s="2">
        <v>46183</v>
      </c>
      <c r="C28" s="3" t="s">
        <v>45</v>
      </c>
      <c r="D28" s="3" t="s">
        <v>115</v>
      </c>
      <c r="E28" s="5">
        <v>36.299999999999997</v>
      </c>
      <c r="F28" s="6">
        <v>24800</v>
      </c>
      <c r="G28" s="8">
        <f t="shared" si="0"/>
        <v>900239.99999999988</v>
      </c>
      <c r="H28" s="3"/>
    </row>
    <row r="29" spans="2:8" ht="13" x14ac:dyDescent="0.15">
      <c r="B29" s="2">
        <v>46183</v>
      </c>
      <c r="C29" s="3" t="s">
        <v>259</v>
      </c>
      <c r="D29" s="3" t="s">
        <v>15</v>
      </c>
      <c r="E29" s="5">
        <v>1</v>
      </c>
      <c r="F29" s="6">
        <v>2600000</v>
      </c>
      <c r="G29" s="8">
        <f t="shared" si="0"/>
        <v>2600000</v>
      </c>
      <c r="H29" s="3"/>
    </row>
    <row r="30" spans="2:8" ht="13" x14ac:dyDescent="0.15">
      <c r="B30" s="2">
        <v>46183</v>
      </c>
      <c r="C30" s="3" t="s">
        <v>8</v>
      </c>
      <c r="D30" s="3" t="s">
        <v>254</v>
      </c>
      <c r="E30" s="5">
        <v>3</v>
      </c>
      <c r="F30" s="6">
        <v>13000</v>
      </c>
      <c r="G30" s="8">
        <f t="shared" si="0"/>
        <v>39000</v>
      </c>
      <c r="H30" s="3"/>
    </row>
    <row r="31" spans="2:8" ht="13" x14ac:dyDescent="0.15">
      <c r="B31" s="2"/>
      <c r="C31" s="3"/>
      <c r="D31" s="3" t="s">
        <v>16</v>
      </c>
      <c r="E31" s="5">
        <v>30</v>
      </c>
      <c r="F31" s="6">
        <v>64000</v>
      </c>
      <c r="G31" s="8">
        <f t="shared" si="0"/>
        <v>1920000</v>
      </c>
      <c r="H31" s="3"/>
    </row>
    <row r="32" spans="2:8" ht="13" x14ac:dyDescent="0.15">
      <c r="B32" s="9">
        <v>46183</v>
      </c>
      <c r="C32" s="10" t="s">
        <v>263</v>
      </c>
      <c r="D32" s="10" t="s">
        <v>264</v>
      </c>
      <c r="E32" s="11">
        <v>19</v>
      </c>
      <c r="F32" s="12">
        <v>15000</v>
      </c>
      <c r="G32" s="8">
        <f t="shared" si="0"/>
        <v>285000</v>
      </c>
      <c r="H32" s="10"/>
    </row>
    <row r="33" spans="2:8" ht="13" x14ac:dyDescent="0.15">
      <c r="B33" s="9"/>
      <c r="C33" s="10"/>
      <c r="D33" s="10" t="s">
        <v>266</v>
      </c>
      <c r="E33" s="11">
        <v>19</v>
      </c>
      <c r="F33" s="12">
        <v>63000</v>
      </c>
      <c r="G33" s="8">
        <f t="shared" si="0"/>
        <v>1197000</v>
      </c>
      <c r="H33" s="10"/>
    </row>
    <row r="34" spans="2:8" ht="13" x14ac:dyDescent="0.15">
      <c r="B34" s="9"/>
      <c r="C34" s="10"/>
      <c r="D34" s="10" t="s">
        <v>267</v>
      </c>
      <c r="E34" s="11">
        <v>12</v>
      </c>
      <c r="F34" s="12">
        <v>26000</v>
      </c>
      <c r="G34" s="8">
        <f t="shared" si="0"/>
        <v>312000</v>
      </c>
      <c r="H34" s="10"/>
    </row>
    <row r="35" spans="2:8" ht="13" x14ac:dyDescent="0.15">
      <c r="B35" s="2">
        <v>46184</v>
      </c>
      <c r="C35" s="3" t="s">
        <v>8</v>
      </c>
      <c r="D35" s="3" t="s">
        <v>9</v>
      </c>
      <c r="E35" s="5">
        <v>15</v>
      </c>
      <c r="F35" s="6">
        <v>76500</v>
      </c>
      <c r="G35" s="8">
        <f t="shared" si="0"/>
        <v>1147500</v>
      </c>
      <c r="H35" s="3"/>
    </row>
    <row r="36" spans="2:8" ht="13" x14ac:dyDescent="0.15">
      <c r="B36" s="2"/>
      <c r="C36" s="3"/>
      <c r="D36" s="3" t="s">
        <v>25</v>
      </c>
      <c r="E36" s="5">
        <v>1</v>
      </c>
      <c r="F36" s="6">
        <v>200000</v>
      </c>
      <c r="G36" s="8">
        <f t="shared" si="0"/>
        <v>200000</v>
      </c>
      <c r="H36" s="3"/>
    </row>
    <row r="37" spans="2:8" ht="13" x14ac:dyDescent="0.15">
      <c r="B37" s="2"/>
      <c r="C37" s="3"/>
      <c r="D37" s="3" t="s">
        <v>158</v>
      </c>
      <c r="E37" s="5">
        <v>3</v>
      </c>
      <c r="F37" s="6">
        <v>40000</v>
      </c>
      <c r="G37" s="8">
        <f t="shared" si="0"/>
        <v>120000</v>
      </c>
      <c r="H37" s="3"/>
    </row>
    <row r="38" spans="2:8" ht="13" x14ac:dyDescent="0.15">
      <c r="B38" s="2">
        <v>46185</v>
      </c>
      <c r="C38" s="3" t="s">
        <v>8</v>
      </c>
      <c r="D38" s="3" t="s">
        <v>38</v>
      </c>
      <c r="E38" s="5">
        <v>1000</v>
      </c>
      <c r="F38" s="6">
        <v>3300</v>
      </c>
      <c r="G38" s="8">
        <f t="shared" si="0"/>
        <v>3300000</v>
      </c>
      <c r="H38" s="3"/>
    </row>
    <row r="39" spans="2:8" ht="13" x14ac:dyDescent="0.15">
      <c r="B39" s="2">
        <v>46186</v>
      </c>
      <c r="C39" s="3" t="s">
        <v>8</v>
      </c>
      <c r="D39" s="3" t="s">
        <v>144</v>
      </c>
      <c r="E39" s="5">
        <v>3</v>
      </c>
      <c r="F39" s="6">
        <v>25000</v>
      </c>
      <c r="G39" s="8">
        <f t="shared" si="0"/>
        <v>75000</v>
      </c>
      <c r="H39" s="3"/>
    </row>
    <row r="40" spans="2:8" ht="13" x14ac:dyDescent="0.15">
      <c r="B40" s="2"/>
      <c r="C40" s="3"/>
      <c r="D40" s="3" t="s">
        <v>89</v>
      </c>
      <c r="E40" s="5">
        <v>6</v>
      </c>
      <c r="F40" s="6">
        <v>15000</v>
      </c>
      <c r="G40" s="8">
        <f t="shared" si="0"/>
        <v>90000</v>
      </c>
      <c r="H40" s="3"/>
    </row>
    <row r="41" spans="2:8" ht="13" x14ac:dyDescent="0.15">
      <c r="B41" s="2"/>
      <c r="C41" s="3"/>
      <c r="D41" s="3" t="s">
        <v>273</v>
      </c>
      <c r="E41" s="5">
        <v>1</v>
      </c>
      <c r="F41" s="6">
        <v>45000</v>
      </c>
      <c r="G41" s="8">
        <f t="shared" si="0"/>
        <v>45000</v>
      </c>
      <c r="H41" s="3"/>
    </row>
    <row r="42" spans="2:8" ht="13" x14ac:dyDescent="0.15">
      <c r="B42" s="2">
        <v>46187</v>
      </c>
      <c r="C42" s="3" t="s">
        <v>8</v>
      </c>
      <c r="D42" s="3" t="s">
        <v>16</v>
      </c>
      <c r="E42" s="5">
        <v>30</v>
      </c>
      <c r="F42" s="6">
        <v>64000</v>
      </c>
      <c r="G42" s="8">
        <f t="shared" si="0"/>
        <v>1920000</v>
      </c>
      <c r="H42" s="3"/>
    </row>
    <row r="43" spans="2:8" ht="13" x14ac:dyDescent="0.15">
      <c r="B43" s="2">
        <v>46188</v>
      </c>
      <c r="C43" s="3" t="s">
        <v>259</v>
      </c>
      <c r="D43" s="3" t="s">
        <v>15</v>
      </c>
      <c r="E43" s="5">
        <v>1</v>
      </c>
      <c r="F43" s="6">
        <v>2600000</v>
      </c>
      <c r="G43" s="8">
        <f t="shared" si="0"/>
        <v>2600000</v>
      </c>
      <c r="H43" s="3"/>
    </row>
    <row r="44" spans="2:8" ht="13" x14ac:dyDescent="0.15">
      <c r="B44" s="2">
        <v>46188</v>
      </c>
      <c r="C44" s="3" t="s">
        <v>277</v>
      </c>
      <c r="D44" s="3" t="s">
        <v>278</v>
      </c>
      <c r="E44" s="5">
        <v>1</v>
      </c>
      <c r="F44" s="6">
        <v>720000</v>
      </c>
      <c r="G44" s="8">
        <f t="shared" si="0"/>
        <v>720000</v>
      </c>
      <c r="H44" s="3"/>
    </row>
    <row r="45" spans="2:8" ht="13" x14ac:dyDescent="0.15">
      <c r="B45" s="2">
        <v>46188</v>
      </c>
      <c r="C45" s="3" t="s">
        <v>8</v>
      </c>
      <c r="D45" s="3" t="s">
        <v>10</v>
      </c>
      <c r="E45" s="5">
        <v>1</v>
      </c>
      <c r="F45" s="6">
        <v>450000</v>
      </c>
      <c r="G45" s="8">
        <f t="shared" si="0"/>
        <v>450000</v>
      </c>
      <c r="H45" s="3"/>
    </row>
    <row r="46" spans="2:8" ht="13" x14ac:dyDescent="0.15">
      <c r="B46" s="2"/>
      <c r="C46" s="3"/>
      <c r="D46" s="3" t="s">
        <v>204</v>
      </c>
      <c r="E46" s="5">
        <v>15</v>
      </c>
      <c r="F46" s="6">
        <v>24000</v>
      </c>
      <c r="G46" s="8">
        <f t="shared" si="0"/>
        <v>360000</v>
      </c>
      <c r="H46" s="3"/>
    </row>
    <row r="47" spans="2:8" ht="13" x14ac:dyDescent="0.15">
      <c r="B47" s="2">
        <v>46191</v>
      </c>
      <c r="C47" s="3" t="s">
        <v>8</v>
      </c>
      <c r="D47" s="3" t="s">
        <v>257</v>
      </c>
      <c r="E47" s="5">
        <v>3</v>
      </c>
      <c r="F47" s="6">
        <v>13000</v>
      </c>
      <c r="G47" s="8">
        <f t="shared" si="0"/>
        <v>39000</v>
      </c>
      <c r="H47" s="3"/>
    </row>
    <row r="48" spans="2:8" ht="13" x14ac:dyDescent="0.15">
      <c r="B48" s="2"/>
      <c r="C48" s="3"/>
      <c r="D48" s="3" t="s">
        <v>69</v>
      </c>
      <c r="E48" s="5">
        <v>1</v>
      </c>
      <c r="F48" s="6">
        <v>50000</v>
      </c>
      <c r="G48" s="8">
        <f t="shared" si="0"/>
        <v>50000</v>
      </c>
      <c r="H48" s="3"/>
    </row>
    <row r="49" spans="2:8" ht="13" x14ac:dyDescent="0.15">
      <c r="B49" s="2">
        <v>46193</v>
      </c>
      <c r="C49" s="3" t="s">
        <v>290</v>
      </c>
      <c r="D49" s="3" t="s">
        <v>291</v>
      </c>
      <c r="E49" s="5">
        <v>6</v>
      </c>
      <c r="F49" s="6">
        <v>35000</v>
      </c>
      <c r="G49" s="8">
        <f t="shared" si="0"/>
        <v>210000</v>
      </c>
      <c r="H49" s="3"/>
    </row>
    <row r="50" spans="2:8" ht="13" x14ac:dyDescent="0.15">
      <c r="B50" s="2"/>
      <c r="C50" s="3"/>
      <c r="D50" s="3" t="s">
        <v>294</v>
      </c>
      <c r="E50" s="5">
        <v>4</v>
      </c>
      <c r="F50" s="6">
        <v>40000</v>
      </c>
      <c r="G50" s="8">
        <f t="shared" si="0"/>
        <v>160000</v>
      </c>
      <c r="H50" s="3"/>
    </row>
    <row r="51" spans="2:8" ht="13" x14ac:dyDescent="0.15">
      <c r="B51" s="2"/>
      <c r="C51" s="3"/>
      <c r="D51" s="3" t="s">
        <v>297</v>
      </c>
      <c r="E51" s="5">
        <v>2</v>
      </c>
      <c r="F51" s="6">
        <v>40000</v>
      </c>
      <c r="G51" s="8">
        <f t="shared" si="0"/>
        <v>80000</v>
      </c>
      <c r="H51" s="3"/>
    </row>
    <row r="52" spans="2:8" ht="13" x14ac:dyDescent="0.15">
      <c r="B52" s="2">
        <v>46193</v>
      </c>
      <c r="C52" s="3" t="s">
        <v>8</v>
      </c>
      <c r="D52" s="3" t="s">
        <v>38</v>
      </c>
      <c r="E52" s="5">
        <v>500</v>
      </c>
      <c r="F52" s="6">
        <v>3200</v>
      </c>
      <c r="G52" s="8">
        <f t="shared" si="0"/>
        <v>1600000</v>
      </c>
      <c r="H52" s="3"/>
    </row>
    <row r="53" spans="2:8" ht="13" x14ac:dyDescent="0.15">
      <c r="B53" s="2">
        <v>46194</v>
      </c>
      <c r="C53" s="3" t="s">
        <v>259</v>
      </c>
      <c r="D53" s="3" t="s">
        <v>43</v>
      </c>
      <c r="E53" s="5">
        <v>1</v>
      </c>
      <c r="F53" s="6">
        <v>2800000</v>
      </c>
      <c r="G53" s="8">
        <f t="shared" si="0"/>
        <v>2800000</v>
      </c>
      <c r="H53" s="3"/>
    </row>
    <row r="54" spans="2:8" ht="13" x14ac:dyDescent="0.15">
      <c r="B54" s="2">
        <v>46195</v>
      </c>
      <c r="C54" s="3" t="s">
        <v>8</v>
      </c>
      <c r="D54" s="3" t="s">
        <v>16</v>
      </c>
      <c r="E54" s="5">
        <v>32</v>
      </c>
      <c r="F54" s="6">
        <v>63000</v>
      </c>
      <c r="G54" s="8">
        <f t="shared" si="0"/>
        <v>2016000</v>
      </c>
      <c r="H54" s="3"/>
    </row>
    <row r="55" spans="2:8" ht="13" x14ac:dyDescent="0.15">
      <c r="B55" s="2"/>
      <c r="C55" s="3"/>
      <c r="D55" s="3" t="s">
        <v>304</v>
      </c>
      <c r="E55" s="5">
        <v>1</v>
      </c>
      <c r="F55" s="6">
        <v>40000</v>
      </c>
      <c r="G55" s="8">
        <f t="shared" si="0"/>
        <v>40000</v>
      </c>
      <c r="H55" s="3"/>
    </row>
    <row r="56" spans="2:8" ht="13" x14ac:dyDescent="0.15">
      <c r="B56" s="2">
        <v>46197</v>
      </c>
      <c r="C56" s="3" t="s">
        <v>259</v>
      </c>
      <c r="D56" s="3" t="s">
        <v>15</v>
      </c>
      <c r="E56" s="5">
        <v>1</v>
      </c>
      <c r="F56" s="6">
        <v>2600000</v>
      </c>
      <c r="G56" s="8">
        <f t="shared" si="0"/>
        <v>2600000</v>
      </c>
      <c r="H56" s="3"/>
    </row>
    <row r="57" spans="2:8" ht="13" x14ac:dyDescent="0.15">
      <c r="B57" s="2">
        <v>46197</v>
      </c>
      <c r="C57" s="3" t="s">
        <v>45</v>
      </c>
      <c r="D57" s="3" t="s">
        <v>115</v>
      </c>
      <c r="E57" s="5">
        <v>46.36</v>
      </c>
      <c r="F57" s="6">
        <v>24800</v>
      </c>
      <c r="G57" s="8">
        <f t="shared" si="0"/>
        <v>1149728</v>
      </c>
      <c r="H57" s="3"/>
    </row>
    <row r="58" spans="2:8" ht="13" x14ac:dyDescent="0.15">
      <c r="B58" s="2">
        <v>46197</v>
      </c>
      <c r="C58" s="3" t="s">
        <v>8</v>
      </c>
      <c r="D58" s="3" t="s">
        <v>164</v>
      </c>
      <c r="E58" s="5">
        <v>15</v>
      </c>
      <c r="F58" s="6">
        <v>9000</v>
      </c>
      <c r="G58" s="8">
        <f t="shared" si="0"/>
        <v>135000</v>
      </c>
      <c r="H58" s="3"/>
    </row>
    <row r="59" spans="2:8" ht="13" x14ac:dyDescent="0.15">
      <c r="B59" s="2"/>
      <c r="C59" s="3"/>
      <c r="D59" s="3" t="s">
        <v>304</v>
      </c>
      <c r="E59" s="5">
        <v>1</v>
      </c>
      <c r="F59" s="6">
        <v>15000</v>
      </c>
      <c r="G59" s="8">
        <f t="shared" si="0"/>
        <v>15000</v>
      </c>
      <c r="H59" s="3"/>
    </row>
    <row r="60" spans="2:8" ht="13" x14ac:dyDescent="0.15">
      <c r="B60" s="2">
        <v>46198</v>
      </c>
      <c r="C60" s="3" t="s">
        <v>310</v>
      </c>
      <c r="D60" s="3" t="s">
        <v>311</v>
      </c>
      <c r="E60" s="5">
        <v>1</v>
      </c>
      <c r="F60" s="6">
        <v>135000</v>
      </c>
      <c r="G60" s="8">
        <f t="shared" si="0"/>
        <v>135000</v>
      </c>
      <c r="H60" s="3"/>
    </row>
    <row r="61" spans="2:8" ht="13" x14ac:dyDescent="0.15">
      <c r="B61" s="2">
        <v>46198</v>
      </c>
      <c r="C61" s="3" t="s">
        <v>19</v>
      </c>
      <c r="D61" s="3" t="s">
        <v>23</v>
      </c>
      <c r="E61" s="5">
        <v>10</v>
      </c>
      <c r="F61" s="6">
        <v>1985000</v>
      </c>
      <c r="G61" s="8">
        <f t="shared" si="0"/>
        <v>19850000</v>
      </c>
      <c r="H61" s="3"/>
    </row>
    <row r="62" spans="2:8" ht="13" x14ac:dyDescent="0.15">
      <c r="B62" s="2"/>
      <c r="C62" s="3"/>
      <c r="D62" s="3" t="s">
        <v>29</v>
      </c>
      <c r="E62" s="5">
        <v>3</v>
      </c>
      <c r="F62" s="6">
        <v>2455000</v>
      </c>
      <c r="G62" s="8">
        <f t="shared" si="0"/>
        <v>7365000</v>
      </c>
      <c r="H62" s="3"/>
    </row>
    <row r="63" spans="2:8" ht="13" x14ac:dyDescent="0.15">
      <c r="B63" s="2"/>
      <c r="C63" s="3"/>
      <c r="D63" s="3" t="s">
        <v>37</v>
      </c>
      <c r="E63" s="5">
        <v>3</v>
      </c>
      <c r="F63" s="6">
        <v>2021250</v>
      </c>
      <c r="G63" s="8">
        <f t="shared" si="0"/>
        <v>6063750</v>
      </c>
      <c r="H63" s="3"/>
    </row>
    <row r="64" spans="2:8" ht="13" x14ac:dyDescent="0.15">
      <c r="B64" s="2"/>
      <c r="C64" s="3"/>
      <c r="D64" s="3" t="s">
        <v>36</v>
      </c>
      <c r="E64" s="5">
        <v>3</v>
      </c>
      <c r="F64" s="6">
        <v>2887500</v>
      </c>
      <c r="G64" s="8">
        <f t="shared" si="0"/>
        <v>8662500</v>
      </c>
      <c r="H64" s="3"/>
    </row>
    <row r="65" spans="2:8" ht="13" x14ac:dyDescent="0.15">
      <c r="B65" s="2"/>
      <c r="C65" s="3"/>
      <c r="D65" s="3" t="s">
        <v>20</v>
      </c>
      <c r="E65" s="5">
        <v>3</v>
      </c>
      <c r="F65" s="6">
        <v>3320000</v>
      </c>
      <c r="G65" s="8">
        <f t="shared" si="0"/>
        <v>9960000</v>
      </c>
      <c r="H65" s="3"/>
    </row>
    <row r="66" spans="2:8" ht="13" x14ac:dyDescent="0.15">
      <c r="B66" s="2">
        <v>46198</v>
      </c>
      <c r="C66" s="3" t="s">
        <v>220</v>
      </c>
      <c r="D66" s="3" t="s">
        <v>325</v>
      </c>
      <c r="E66" s="5">
        <v>1</v>
      </c>
      <c r="F66" s="6">
        <v>250000</v>
      </c>
      <c r="G66" s="8">
        <f t="shared" si="0"/>
        <v>250000</v>
      </c>
      <c r="H66" s="3"/>
    </row>
    <row r="67" spans="2:8" ht="13" x14ac:dyDescent="0.15">
      <c r="B67" s="2">
        <v>46199</v>
      </c>
      <c r="C67" s="3" t="s">
        <v>8</v>
      </c>
      <c r="D67" s="3" t="s">
        <v>24</v>
      </c>
      <c r="E67" s="5">
        <v>1</v>
      </c>
      <c r="F67" s="6">
        <v>1250000</v>
      </c>
      <c r="G67" s="8">
        <f t="shared" si="0"/>
        <v>1250000</v>
      </c>
      <c r="H67" s="3"/>
    </row>
    <row r="68" spans="2:8" ht="13" x14ac:dyDescent="0.15">
      <c r="B68" s="2">
        <v>46199</v>
      </c>
      <c r="C68" s="3" t="s">
        <v>8</v>
      </c>
      <c r="D68" s="3" t="s">
        <v>10</v>
      </c>
      <c r="E68" s="5">
        <v>10</v>
      </c>
      <c r="F68" s="6">
        <v>18000</v>
      </c>
      <c r="G68" s="8">
        <f t="shared" si="0"/>
        <v>180000</v>
      </c>
      <c r="H68" s="3"/>
    </row>
    <row r="69" spans="2:8" ht="13" x14ac:dyDescent="0.15">
      <c r="B69" s="2"/>
      <c r="C69" s="3"/>
      <c r="D69" s="3" t="s">
        <v>328</v>
      </c>
      <c r="E69" s="5">
        <v>3</v>
      </c>
      <c r="F69" s="6">
        <v>15000</v>
      </c>
      <c r="G69" s="8">
        <f t="shared" si="0"/>
        <v>45000</v>
      </c>
      <c r="H69" s="3"/>
    </row>
    <row r="70" spans="2:8" ht="13" x14ac:dyDescent="0.15">
      <c r="B70" s="2"/>
      <c r="C70" s="3"/>
      <c r="D70" s="3" t="s">
        <v>304</v>
      </c>
      <c r="E70" s="5">
        <v>1</v>
      </c>
      <c r="F70" s="6">
        <v>40000</v>
      </c>
      <c r="G70" s="8">
        <f t="shared" si="0"/>
        <v>40000</v>
      </c>
      <c r="H70" s="3"/>
    </row>
    <row r="71" spans="2:8" ht="13" x14ac:dyDescent="0.15">
      <c r="B71" s="2">
        <v>46201</v>
      </c>
      <c r="C71" s="3" t="s">
        <v>235</v>
      </c>
      <c r="D71" s="3" t="s">
        <v>16</v>
      </c>
      <c r="E71" s="5">
        <v>30</v>
      </c>
      <c r="F71" s="6">
        <v>63000</v>
      </c>
      <c r="G71" s="8">
        <f t="shared" si="0"/>
        <v>1890000</v>
      </c>
      <c r="H71" s="3"/>
    </row>
    <row r="72" spans="2:8" ht="13" x14ac:dyDescent="0.15">
      <c r="B72" s="2"/>
      <c r="C72" s="3"/>
      <c r="D72" s="3" t="s">
        <v>21</v>
      </c>
      <c r="E72" s="5">
        <v>5</v>
      </c>
      <c r="F72" s="6">
        <v>75000</v>
      </c>
      <c r="G72" s="8">
        <f t="shared" si="0"/>
        <v>375000</v>
      </c>
      <c r="H72" s="3"/>
    </row>
    <row r="73" spans="2:8" ht="13" x14ac:dyDescent="0.15">
      <c r="B73" s="2">
        <v>46202</v>
      </c>
      <c r="C73" s="3" t="s">
        <v>44</v>
      </c>
      <c r="D73" s="3" t="s">
        <v>330</v>
      </c>
      <c r="E73" s="5">
        <v>3</v>
      </c>
      <c r="F73" s="6">
        <v>30000</v>
      </c>
      <c r="G73" s="8">
        <f t="shared" si="0"/>
        <v>90000</v>
      </c>
      <c r="H73" s="3"/>
    </row>
    <row r="74" spans="2:8" ht="13" x14ac:dyDescent="0.15">
      <c r="B74" s="2">
        <v>46202</v>
      </c>
      <c r="C74" s="3" t="s">
        <v>8</v>
      </c>
      <c r="D74" s="3" t="s">
        <v>10</v>
      </c>
      <c r="E74" s="5">
        <v>1</v>
      </c>
      <c r="F74" s="6">
        <v>450000</v>
      </c>
      <c r="G74" s="8">
        <f t="shared" si="0"/>
        <v>450000</v>
      </c>
      <c r="H74" s="3"/>
    </row>
    <row r="75" spans="2:8" ht="13" x14ac:dyDescent="0.15">
      <c r="B75" s="9">
        <v>46203</v>
      </c>
      <c r="C75" s="10" t="s">
        <v>8</v>
      </c>
      <c r="D75" s="10" t="s">
        <v>132</v>
      </c>
      <c r="E75" s="11">
        <v>1</v>
      </c>
      <c r="F75" s="12">
        <v>380000</v>
      </c>
      <c r="G75" s="8">
        <f t="shared" si="0"/>
        <v>380000</v>
      </c>
      <c r="H75" s="10"/>
    </row>
    <row r="76" spans="2:8" ht="13" x14ac:dyDescent="0.15">
      <c r="B76" s="9"/>
      <c r="C76" s="10"/>
      <c r="D76" s="10" t="s">
        <v>117</v>
      </c>
      <c r="E76" s="11">
        <v>2</v>
      </c>
      <c r="F76" s="12">
        <v>23000</v>
      </c>
      <c r="G76" s="8">
        <f t="shared" si="0"/>
        <v>46000</v>
      </c>
      <c r="H76" s="10"/>
    </row>
    <row r="77" spans="2:8" ht="13" x14ac:dyDescent="0.15">
      <c r="B77" s="9"/>
      <c r="C77" s="10"/>
      <c r="D77" s="10"/>
      <c r="E77" s="11"/>
      <c r="F77" s="12"/>
      <c r="G77" s="8">
        <f t="shared" si="0"/>
        <v>0</v>
      </c>
      <c r="H77" s="10"/>
    </row>
    <row r="78" spans="2:8" ht="13" x14ac:dyDescent="0.15">
      <c r="B78" s="9"/>
      <c r="C78" s="10"/>
      <c r="D78" s="10"/>
      <c r="E78" s="11"/>
      <c r="F78" s="12"/>
      <c r="G78" s="8">
        <f t="shared" si="0"/>
        <v>0</v>
      </c>
      <c r="H78" s="10"/>
    </row>
    <row r="79" spans="2:8" ht="13" x14ac:dyDescent="0.15">
      <c r="B79" s="9"/>
      <c r="C79" s="10"/>
      <c r="D79" s="10"/>
      <c r="E79" s="11"/>
      <c r="F79" s="12"/>
      <c r="G79" s="8">
        <f t="shared" si="0"/>
        <v>0</v>
      </c>
      <c r="H79" s="10"/>
    </row>
    <row r="80" spans="2:8" ht="13" x14ac:dyDescent="0.15">
      <c r="B80" s="9"/>
      <c r="C80" s="10"/>
      <c r="D80" s="10"/>
      <c r="E80" s="11"/>
      <c r="F80" s="12"/>
      <c r="G80" s="8">
        <f t="shared" si="0"/>
        <v>0</v>
      </c>
      <c r="H80" s="10"/>
    </row>
    <row r="81" spans="2:8" ht="13" x14ac:dyDescent="0.15">
      <c r="B81" s="9"/>
      <c r="C81" s="10"/>
      <c r="D81" s="10"/>
      <c r="E81" s="11"/>
      <c r="F81" s="12"/>
      <c r="G81" s="8">
        <f t="shared" si="0"/>
        <v>0</v>
      </c>
      <c r="H81" s="10"/>
    </row>
    <row r="82" spans="2:8" ht="13" x14ac:dyDescent="0.15">
      <c r="B82" s="9"/>
      <c r="C82" s="10"/>
      <c r="D82" s="10"/>
      <c r="E82" s="11"/>
      <c r="F82" s="12"/>
      <c r="G82" s="8">
        <f t="shared" si="0"/>
        <v>0</v>
      </c>
      <c r="H82" s="10"/>
    </row>
    <row r="83" spans="2:8" ht="13" x14ac:dyDescent="0.15">
      <c r="B83" s="9"/>
      <c r="C83" s="10"/>
      <c r="D83" s="10"/>
      <c r="E83" s="11"/>
      <c r="F83" s="12"/>
      <c r="G83" s="8">
        <f t="shared" si="0"/>
        <v>0</v>
      </c>
      <c r="H83" s="10"/>
    </row>
    <row r="84" spans="2:8" ht="13" x14ac:dyDescent="0.15">
      <c r="B84" s="9"/>
      <c r="C84" s="10"/>
      <c r="D84" s="10"/>
      <c r="E84" s="11"/>
      <c r="F84" s="12"/>
      <c r="G84" s="8">
        <f t="shared" si="0"/>
        <v>0</v>
      </c>
      <c r="H84" s="10"/>
    </row>
    <row r="85" spans="2:8" ht="13" x14ac:dyDescent="0.15">
      <c r="B85" s="9"/>
      <c r="C85" s="10"/>
      <c r="D85" s="10"/>
      <c r="E85" s="11"/>
      <c r="F85" s="12"/>
      <c r="G85" s="8">
        <f t="shared" si="0"/>
        <v>0</v>
      </c>
      <c r="H85" s="10"/>
    </row>
    <row r="86" spans="2:8" ht="13" x14ac:dyDescent="0.15">
      <c r="B86" s="9"/>
      <c r="C86" s="10"/>
      <c r="D86" s="10"/>
      <c r="E86" s="11"/>
      <c r="F86" s="12"/>
      <c r="G86" s="8">
        <f t="shared" si="0"/>
        <v>0</v>
      </c>
      <c r="H86" s="10"/>
    </row>
    <row r="87" spans="2:8" ht="13" x14ac:dyDescent="0.15">
      <c r="B87" s="9"/>
      <c r="C87" s="10"/>
      <c r="D87" s="10"/>
      <c r="E87" s="11"/>
      <c r="F87" s="12"/>
      <c r="G87" s="8">
        <f t="shared" si="0"/>
        <v>0</v>
      </c>
      <c r="H87" s="10"/>
    </row>
    <row r="88" spans="2:8" ht="13" x14ac:dyDescent="0.15">
      <c r="B88" s="9"/>
      <c r="C88" s="10"/>
      <c r="D88" s="10"/>
      <c r="E88" s="11"/>
      <c r="F88" s="12"/>
      <c r="G88" s="8">
        <f t="shared" si="0"/>
        <v>0</v>
      </c>
      <c r="H88" s="10"/>
    </row>
    <row r="89" spans="2:8" ht="13" x14ac:dyDescent="0.15">
      <c r="B89" s="9"/>
      <c r="C89" s="10"/>
      <c r="D89" s="10"/>
      <c r="E89" s="11"/>
      <c r="F89" s="12"/>
      <c r="G89" s="8">
        <f t="shared" si="0"/>
        <v>0</v>
      </c>
      <c r="H89" s="10"/>
    </row>
    <row r="90" spans="2:8" ht="13" x14ac:dyDescent="0.15">
      <c r="B90" s="9"/>
      <c r="C90" s="10"/>
      <c r="D90" s="10"/>
      <c r="E90" s="11"/>
      <c r="F90" s="12"/>
      <c r="G90" s="8">
        <f t="shared" si="0"/>
        <v>0</v>
      </c>
      <c r="H90" s="10"/>
    </row>
    <row r="91" spans="2:8" ht="13" x14ac:dyDescent="0.15">
      <c r="B91" s="9"/>
      <c r="C91" s="10"/>
      <c r="D91" s="10"/>
      <c r="E91" s="11"/>
      <c r="F91" s="12"/>
      <c r="G91" s="8">
        <f t="shared" si="0"/>
        <v>0</v>
      </c>
      <c r="H91" s="10"/>
    </row>
    <row r="92" spans="2:8" ht="13" x14ac:dyDescent="0.15">
      <c r="B92" s="9"/>
      <c r="C92" s="10"/>
      <c r="D92" s="10"/>
      <c r="E92" s="11"/>
      <c r="F92" s="12"/>
      <c r="G92" s="8">
        <f t="shared" si="0"/>
        <v>0</v>
      </c>
      <c r="H92" s="10"/>
    </row>
    <row r="93" spans="2:8" ht="13" x14ac:dyDescent="0.15">
      <c r="B93" s="9"/>
      <c r="C93" s="10"/>
      <c r="D93" s="10"/>
      <c r="E93" s="11"/>
      <c r="F93" s="12"/>
      <c r="G93" s="8">
        <f t="shared" si="0"/>
        <v>0</v>
      </c>
      <c r="H93" s="10"/>
    </row>
    <row r="94" spans="2:8" ht="13" x14ac:dyDescent="0.15">
      <c r="B94" s="9"/>
      <c r="C94" s="10"/>
      <c r="D94" s="10"/>
      <c r="E94" s="11"/>
      <c r="F94" s="12"/>
      <c r="G94" s="8">
        <f t="shared" si="0"/>
        <v>0</v>
      </c>
      <c r="H94" s="10"/>
    </row>
    <row r="95" spans="2:8" ht="13" x14ac:dyDescent="0.15">
      <c r="B95" s="9"/>
      <c r="C95" s="10"/>
      <c r="D95" s="10"/>
      <c r="E95" s="11"/>
      <c r="F95" s="12"/>
      <c r="G95" s="8">
        <f t="shared" si="0"/>
        <v>0</v>
      </c>
      <c r="H95" s="10"/>
    </row>
    <row r="96" spans="2:8" ht="13" x14ac:dyDescent="0.15">
      <c r="B96" s="9"/>
      <c r="C96" s="10"/>
      <c r="D96" s="10"/>
      <c r="E96" s="11"/>
      <c r="F96" s="12"/>
      <c r="G96" s="8">
        <f t="shared" si="0"/>
        <v>0</v>
      </c>
      <c r="H96" s="10"/>
    </row>
    <row r="97" spans="2:8" ht="13" x14ac:dyDescent="0.15">
      <c r="B97" s="9"/>
      <c r="C97" s="10"/>
      <c r="D97" s="10"/>
      <c r="E97" s="11"/>
      <c r="F97" s="12"/>
      <c r="G97" s="8">
        <f t="shared" si="0"/>
        <v>0</v>
      </c>
      <c r="H97" s="10"/>
    </row>
    <row r="98" spans="2:8" ht="13" x14ac:dyDescent="0.15">
      <c r="B98" s="9"/>
      <c r="C98" s="10"/>
      <c r="D98" s="10"/>
      <c r="E98" s="11"/>
      <c r="F98" s="12"/>
      <c r="G98" s="8">
        <f t="shared" si="0"/>
        <v>0</v>
      </c>
      <c r="H98" s="10"/>
    </row>
    <row r="99" spans="2:8" ht="13" x14ac:dyDescent="0.15">
      <c r="B99" s="9"/>
      <c r="C99" s="10"/>
      <c r="D99" s="10"/>
      <c r="E99" s="11"/>
      <c r="F99" s="12"/>
      <c r="G99" s="8">
        <f t="shared" si="0"/>
        <v>0</v>
      </c>
      <c r="H99" s="10"/>
    </row>
    <row r="100" spans="2:8" ht="13" x14ac:dyDescent="0.15">
      <c r="B100" s="9"/>
      <c r="C100" s="10"/>
      <c r="D100" s="10"/>
      <c r="E100" s="11"/>
      <c r="F100" s="12"/>
      <c r="G100" s="8">
        <f t="shared" si="0"/>
        <v>0</v>
      </c>
      <c r="H100" s="10"/>
    </row>
    <row r="101" spans="2:8" ht="13" x14ac:dyDescent="0.15">
      <c r="B101" s="9"/>
      <c r="C101" s="10"/>
      <c r="D101" s="10"/>
      <c r="E101" s="11"/>
      <c r="F101" s="12"/>
      <c r="G101" s="8">
        <f t="shared" si="0"/>
        <v>0</v>
      </c>
      <c r="H101" s="10"/>
    </row>
    <row r="102" spans="2:8" ht="13" x14ac:dyDescent="0.15">
      <c r="B102" s="9"/>
      <c r="C102" s="10"/>
      <c r="D102" s="10"/>
      <c r="E102" s="11"/>
      <c r="F102" s="12"/>
      <c r="G102" s="8">
        <f t="shared" si="0"/>
        <v>0</v>
      </c>
      <c r="H102" s="10"/>
    </row>
    <row r="103" spans="2:8" ht="13" x14ac:dyDescent="0.15">
      <c r="B103" s="9"/>
      <c r="C103" s="10"/>
      <c r="D103" s="10"/>
      <c r="E103" s="11"/>
      <c r="F103" s="12"/>
      <c r="G103" s="8">
        <f t="shared" si="0"/>
        <v>0</v>
      </c>
      <c r="H103" s="10"/>
    </row>
    <row r="104" spans="2:8" ht="13" x14ac:dyDescent="0.15">
      <c r="B104" s="9"/>
      <c r="C104" s="10"/>
      <c r="D104" s="10"/>
      <c r="E104" s="11"/>
      <c r="F104" s="12"/>
      <c r="G104" s="8">
        <f t="shared" si="0"/>
        <v>0</v>
      </c>
      <c r="H104" s="10"/>
    </row>
    <row r="105" spans="2:8" ht="13" x14ac:dyDescent="0.15">
      <c r="B105" s="9"/>
      <c r="C105" s="10"/>
      <c r="D105" s="10"/>
      <c r="E105" s="11"/>
      <c r="F105" s="12"/>
      <c r="G105" s="8">
        <f t="shared" si="0"/>
        <v>0</v>
      </c>
      <c r="H105" s="10"/>
    </row>
    <row r="106" spans="2:8" ht="13" x14ac:dyDescent="0.15">
      <c r="B106" s="9"/>
      <c r="C106" s="10"/>
      <c r="D106" s="10"/>
      <c r="E106" s="11"/>
      <c r="F106" s="12"/>
      <c r="G106" s="8">
        <f t="shared" si="0"/>
        <v>0</v>
      </c>
      <c r="H106" s="10"/>
    </row>
    <row r="107" spans="2:8" ht="13" x14ac:dyDescent="0.15">
      <c r="B107" s="9"/>
      <c r="C107" s="10"/>
      <c r="D107" s="10"/>
      <c r="E107" s="11"/>
      <c r="F107" s="12"/>
      <c r="G107" s="8">
        <f t="shared" si="0"/>
        <v>0</v>
      </c>
      <c r="H107" s="10"/>
    </row>
    <row r="108" spans="2:8" ht="13" x14ac:dyDescent="0.15">
      <c r="B108" s="9"/>
      <c r="C108" s="10"/>
      <c r="D108" s="10"/>
      <c r="E108" s="11"/>
      <c r="F108" s="12"/>
      <c r="G108" s="8">
        <f t="shared" si="0"/>
        <v>0</v>
      </c>
      <c r="H108" s="10"/>
    </row>
    <row r="109" spans="2:8" ht="13" x14ac:dyDescent="0.15">
      <c r="B109" s="9"/>
      <c r="C109" s="10"/>
      <c r="D109" s="10"/>
      <c r="E109" s="11"/>
      <c r="F109" s="12"/>
      <c r="G109" s="8">
        <f t="shared" si="0"/>
        <v>0</v>
      </c>
      <c r="H109" s="10"/>
    </row>
    <row r="110" spans="2:8" ht="13" x14ac:dyDescent="0.15">
      <c r="B110" s="9"/>
      <c r="C110" s="10"/>
      <c r="D110" s="10"/>
      <c r="E110" s="11"/>
      <c r="F110" s="12"/>
      <c r="G110" s="8">
        <f t="shared" si="0"/>
        <v>0</v>
      </c>
      <c r="H110" s="10"/>
    </row>
    <row r="111" spans="2:8" ht="13" x14ac:dyDescent="0.15">
      <c r="B111" s="9"/>
      <c r="C111" s="10"/>
      <c r="D111" s="10"/>
      <c r="E111" s="11"/>
      <c r="F111" s="12"/>
      <c r="G111" s="8">
        <f t="shared" si="0"/>
        <v>0</v>
      </c>
      <c r="H111" s="10"/>
    </row>
    <row r="112" spans="2:8" ht="13" x14ac:dyDescent="0.15">
      <c r="B112" s="9"/>
      <c r="C112" s="10"/>
      <c r="D112" s="10"/>
      <c r="E112" s="11"/>
      <c r="F112" s="12"/>
      <c r="G112" s="8">
        <f t="shared" si="0"/>
        <v>0</v>
      </c>
      <c r="H112" s="10"/>
    </row>
    <row r="113" spans="2:8" ht="13" x14ac:dyDescent="0.15">
      <c r="B113" s="9"/>
      <c r="C113" s="10"/>
      <c r="D113" s="10"/>
      <c r="E113" s="11"/>
      <c r="F113" s="12"/>
      <c r="G113" s="8">
        <f t="shared" si="0"/>
        <v>0</v>
      </c>
      <c r="H113" s="10"/>
    </row>
    <row r="114" spans="2:8" ht="13" x14ac:dyDescent="0.15">
      <c r="B114" s="9"/>
      <c r="C114" s="10"/>
      <c r="D114" s="10"/>
      <c r="E114" s="11"/>
      <c r="F114" s="12"/>
      <c r="G114" s="8">
        <f t="shared" si="0"/>
        <v>0</v>
      </c>
      <c r="H114" s="10"/>
    </row>
    <row r="115" spans="2:8" ht="13" x14ac:dyDescent="0.15">
      <c r="B115" s="9"/>
      <c r="C115" s="10"/>
      <c r="D115" s="10"/>
      <c r="E115" s="11"/>
      <c r="F115" s="12"/>
      <c r="G115" s="8">
        <f t="shared" si="0"/>
        <v>0</v>
      </c>
      <c r="H115" s="10"/>
    </row>
    <row r="116" spans="2:8" ht="13" x14ac:dyDescent="0.15">
      <c r="B116" s="9"/>
      <c r="C116" s="10"/>
      <c r="D116" s="10"/>
      <c r="E116" s="11"/>
      <c r="F116" s="12"/>
      <c r="G116" s="8">
        <f t="shared" si="0"/>
        <v>0</v>
      </c>
      <c r="H116" s="10"/>
    </row>
    <row r="117" spans="2:8" ht="13" x14ac:dyDescent="0.15">
      <c r="B117" s="9"/>
      <c r="C117" s="10"/>
      <c r="D117" s="10"/>
      <c r="E117" s="11"/>
      <c r="F117" s="12"/>
      <c r="G117" s="8">
        <f t="shared" si="0"/>
        <v>0</v>
      </c>
      <c r="H117" s="10"/>
    </row>
    <row r="118" spans="2:8" ht="13" x14ac:dyDescent="0.15">
      <c r="B118" s="13"/>
      <c r="C118" s="14"/>
      <c r="D118" s="14"/>
      <c r="E118" s="15"/>
      <c r="F118" s="16"/>
      <c r="G118" s="17"/>
      <c r="H118" s="14"/>
    </row>
    <row r="119" spans="2:8" ht="35.25" customHeight="1" x14ac:dyDescent="0.15">
      <c r="B119" s="26" t="s">
        <v>42</v>
      </c>
      <c r="C119" s="27"/>
      <c r="D119" s="27"/>
      <c r="E119" s="27"/>
      <c r="F119" s="28"/>
      <c r="G119" s="29">
        <f>SUM(G4:G117)</f>
        <v>145534718</v>
      </c>
      <c r="H119" s="28"/>
    </row>
  </sheetData>
  <mergeCells count="2">
    <mergeCell ref="B119:F119"/>
    <mergeCell ref="G119:H1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72"/>
  <sheetViews>
    <sheetView workbookViewId="0"/>
  </sheetViews>
  <sheetFormatPr baseColWidth="10" defaultColWidth="12.6640625" defaultRowHeight="15.75" customHeight="1" x14ac:dyDescent="0.15"/>
  <cols>
    <col min="3" max="3" width="25.6640625" customWidth="1"/>
    <col min="4" max="4" width="38.33203125" customWidth="1"/>
    <col min="6" max="6" width="25.5" customWidth="1"/>
    <col min="7" max="7" width="18.1640625" customWidth="1"/>
    <col min="8" max="8" width="35.6640625" customWidth="1"/>
  </cols>
  <sheetData>
    <row r="1" spans="1:8" ht="13" x14ac:dyDescent="0.15">
      <c r="A1" s="4" t="s">
        <v>7</v>
      </c>
    </row>
    <row r="3" spans="1:8" ht="42.75" customHeight="1" x14ac:dyDescent="0.1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 ht="13" x14ac:dyDescent="0.15">
      <c r="B4" s="2"/>
      <c r="C4" s="3"/>
      <c r="D4" s="3"/>
      <c r="E4" s="5"/>
      <c r="F4" s="6"/>
      <c r="G4" s="7"/>
      <c r="H4" s="3"/>
    </row>
    <row r="5" spans="1:8" ht="13" x14ac:dyDescent="0.15">
      <c r="B5" s="2">
        <v>46204</v>
      </c>
      <c r="C5" s="3" t="s">
        <v>259</v>
      </c>
      <c r="D5" s="3" t="s">
        <v>15</v>
      </c>
      <c r="E5" s="5">
        <v>1</v>
      </c>
      <c r="F5" s="6">
        <v>2600000</v>
      </c>
      <c r="G5" s="8">
        <f t="shared" ref="G5:G170" si="0">E5*F5</f>
        <v>2600000</v>
      </c>
      <c r="H5" s="3"/>
    </row>
    <row r="6" spans="1:8" ht="13" x14ac:dyDescent="0.15">
      <c r="B6" s="2">
        <v>46205</v>
      </c>
      <c r="C6" s="3" t="s">
        <v>156</v>
      </c>
      <c r="D6" s="3" t="s">
        <v>274</v>
      </c>
      <c r="E6" s="5">
        <v>1</v>
      </c>
      <c r="F6" s="6">
        <v>900000</v>
      </c>
      <c r="G6" s="8">
        <f t="shared" si="0"/>
        <v>900000</v>
      </c>
      <c r="H6" s="3"/>
    </row>
    <row r="7" spans="1:8" ht="13" x14ac:dyDescent="0.15">
      <c r="B7" s="2">
        <v>46205</v>
      </c>
      <c r="C7" s="3" t="s">
        <v>33</v>
      </c>
      <c r="D7" s="3" t="s">
        <v>34</v>
      </c>
      <c r="E7" s="5">
        <v>1</v>
      </c>
      <c r="F7" s="6">
        <v>63500</v>
      </c>
      <c r="G7" s="8">
        <f t="shared" si="0"/>
        <v>63500</v>
      </c>
      <c r="H7" s="3"/>
    </row>
    <row r="8" spans="1:8" ht="13" x14ac:dyDescent="0.15">
      <c r="B8" s="2">
        <v>46205</v>
      </c>
      <c r="C8" s="3" t="s">
        <v>259</v>
      </c>
      <c r="D8" s="3" t="s">
        <v>43</v>
      </c>
      <c r="E8" s="5">
        <v>1</v>
      </c>
      <c r="F8" s="6">
        <v>2800000</v>
      </c>
      <c r="G8" s="8">
        <f t="shared" si="0"/>
        <v>2800000</v>
      </c>
      <c r="H8" s="3"/>
    </row>
    <row r="9" spans="1:8" ht="13" x14ac:dyDescent="0.15">
      <c r="B9" s="2">
        <v>46205</v>
      </c>
      <c r="C9" s="3" t="s">
        <v>259</v>
      </c>
      <c r="D9" s="3" t="s">
        <v>43</v>
      </c>
      <c r="E9" s="5">
        <v>1</v>
      </c>
      <c r="F9" s="6">
        <v>2800000</v>
      </c>
      <c r="G9" s="8">
        <f t="shared" si="0"/>
        <v>2800000</v>
      </c>
      <c r="H9" s="3"/>
    </row>
    <row r="10" spans="1:8" ht="13" x14ac:dyDescent="0.15">
      <c r="B10" s="2">
        <v>46206</v>
      </c>
      <c r="C10" s="3" t="s">
        <v>280</v>
      </c>
      <c r="D10" s="3" t="s">
        <v>282</v>
      </c>
      <c r="E10" s="5">
        <v>2</v>
      </c>
      <c r="F10" s="6">
        <v>450000</v>
      </c>
      <c r="G10" s="8">
        <f t="shared" si="0"/>
        <v>900000</v>
      </c>
      <c r="H10" s="3"/>
    </row>
    <row r="11" spans="1:8" ht="13" x14ac:dyDescent="0.15">
      <c r="B11" s="2">
        <v>46206</v>
      </c>
      <c r="C11" s="3" t="s">
        <v>8</v>
      </c>
      <c r="D11" s="3" t="s">
        <v>38</v>
      </c>
      <c r="E11" s="5">
        <v>500</v>
      </c>
      <c r="F11" s="6">
        <v>3200</v>
      </c>
      <c r="G11" s="8">
        <f t="shared" si="0"/>
        <v>1600000</v>
      </c>
      <c r="H11" s="3"/>
    </row>
    <row r="12" spans="1:8" ht="13" x14ac:dyDescent="0.15">
      <c r="B12" s="2">
        <v>46207</v>
      </c>
      <c r="C12" s="3" t="s">
        <v>32</v>
      </c>
      <c r="D12" s="3" t="s">
        <v>284</v>
      </c>
      <c r="E12" s="5">
        <v>8</v>
      </c>
      <c r="F12" s="6">
        <v>15000</v>
      </c>
      <c r="G12" s="8">
        <f t="shared" si="0"/>
        <v>120000</v>
      </c>
      <c r="H12" s="3"/>
    </row>
    <row r="13" spans="1:8" ht="13" x14ac:dyDescent="0.15">
      <c r="B13" s="2"/>
      <c r="C13" s="3"/>
      <c r="D13" s="3" t="s">
        <v>286</v>
      </c>
      <c r="E13" s="5">
        <v>8</v>
      </c>
      <c r="F13" s="6">
        <v>90000</v>
      </c>
      <c r="G13" s="8">
        <f t="shared" si="0"/>
        <v>720000</v>
      </c>
      <c r="H13" s="3"/>
    </row>
    <row r="14" spans="1:8" ht="13" x14ac:dyDescent="0.15">
      <c r="B14" s="2">
        <v>46207</v>
      </c>
      <c r="C14" s="3" t="s">
        <v>288</v>
      </c>
      <c r="D14" s="3" t="s">
        <v>289</v>
      </c>
      <c r="E14" s="5">
        <v>1</v>
      </c>
      <c r="F14" s="6">
        <v>1340000</v>
      </c>
      <c r="G14" s="8">
        <f t="shared" si="0"/>
        <v>1340000</v>
      </c>
      <c r="H14" s="3"/>
    </row>
    <row r="15" spans="1:8" ht="13" x14ac:dyDescent="0.15">
      <c r="B15" s="2"/>
      <c r="C15" s="3"/>
      <c r="D15" s="3" t="s">
        <v>293</v>
      </c>
      <c r="E15" s="5">
        <v>1</v>
      </c>
      <c r="F15" s="6">
        <v>75000</v>
      </c>
      <c r="G15" s="8">
        <f t="shared" si="0"/>
        <v>75000</v>
      </c>
      <c r="H15" s="3"/>
    </row>
    <row r="16" spans="1:8" ht="13" x14ac:dyDescent="0.15">
      <c r="B16" s="2">
        <v>46209</v>
      </c>
      <c r="C16" s="3" t="s">
        <v>8</v>
      </c>
      <c r="D16" s="3" t="s">
        <v>224</v>
      </c>
      <c r="E16" s="5">
        <v>1</v>
      </c>
      <c r="F16" s="6">
        <v>2800000</v>
      </c>
      <c r="G16" s="8">
        <f t="shared" si="0"/>
        <v>2800000</v>
      </c>
      <c r="H16" s="3"/>
    </row>
    <row r="17" spans="2:8" ht="13" x14ac:dyDescent="0.15">
      <c r="B17" s="2">
        <v>46209</v>
      </c>
      <c r="C17" s="3" t="s">
        <v>277</v>
      </c>
      <c r="D17" s="3" t="s">
        <v>298</v>
      </c>
      <c r="E17" s="5">
        <v>1</v>
      </c>
      <c r="F17" s="6">
        <v>1080000</v>
      </c>
      <c r="G17" s="8">
        <f t="shared" si="0"/>
        <v>1080000</v>
      </c>
      <c r="H17" s="3"/>
    </row>
    <row r="18" spans="2:8" ht="13" x14ac:dyDescent="0.15">
      <c r="B18" s="2"/>
      <c r="C18" s="3"/>
      <c r="D18" s="3" t="s">
        <v>18</v>
      </c>
      <c r="E18" s="5">
        <v>1</v>
      </c>
      <c r="F18" s="6">
        <v>50000</v>
      </c>
      <c r="G18" s="8">
        <f t="shared" si="0"/>
        <v>50000</v>
      </c>
      <c r="H18" s="3"/>
    </row>
    <row r="19" spans="2:8" ht="13" x14ac:dyDescent="0.15">
      <c r="B19" s="2">
        <v>46210</v>
      </c>
      <c r="C19" s="3" t="s">
        <v>300</v>
      </c>
      <c r="D19" s="3" t="s">
        <v>301</v>
      </c>
      <c r="E19" s="5">
        <v>2</v>
      </c>
      <c r="F19" s="6">
        <v>175000</v>
      </c>
      <c r="G19" s="8">
        <f t="shared" si="0"/>
        <v>350000</v>
      </c>
      <c r="H19" s="3"/>
    </row>
    <row r="20" spans="2:8" ht="13" x14ac:dyDescent="0.15">
      <c r="B20" s="2">
        <v>46210</v>
      </c>
      <c r="C20" s="3" t="s">
        <v>259</v>
      </c>
      <c r="D20" s="3" t="s">
        <v>15</v>
      </c>
      <c r="E20" s="5">
        <v>1</v>
      </c>
      <c r="F20" s="6">
        <v>2600000</v>
      </c>
      <c r="G20" s="8">
        <f t="shared" si="0"/>
        <v>2600000</v>
      </c>
      <c r="H20" s="3"/>
    </row>
    <row r="21" spans="2:8" ht="13" x14ac:dyDescent="0.15">
      <c r="B21" s="2">
        <v>46210</v>
      </c>
      <c r="C21" s="3" t="s">
        <v>302</v>
      </c>
      <c r="D21" s="3" t="s">
        <v>28</v>
      </c>
      <c r="E21" s="5">
        <v>1</v>
      </c>
      <c r="F21" s="6">
        <v>65000</v>
      </c>
      <c r="G21" s="8">
        <f t="shared" si="0"/>
        <v>65000</v>
      </c>
      <c r="H21" s="3"/>
    </row>
    <row r="22" spans="2:8" ht="13" x14ac:dyDescent="0.15">
      <c r="B22" s="2"/>
      <c r="C22" s="3"/>
      <c r="D22" s="3" t="s">
        <v>11</v>
      </c>
      <c r="E22" s="5">
        <v>2</v>
      </c>
      <c r="F22" s="6">
        <v>20000</v>
      </c>
      <c r="G22" s="8">
        <f t="shared" si="0"/>
        <v>40000</v>
      </c>
      <c r="H22" s="3"/>
    </row>
    <row r="23" spans="2:8" ht="13" x14ac:dyDescent="0.15">
      <c r="B23" s="2"/>
      <c r="C23" s="3"/>
      <c r="D23" s="3" t="s">
        <v>305</v>
      </c>
      <c r="E23" s="5">
        <v>1</v>
      </c>
      <c r="F23" s="6">
        <v>155000</v>
      </c>
      <c r="G23" s="8">
        <f t="shared" si="0"/>
        <v>155000</v>
      </c>
      <c r="H23" s="3"/>
    </row>
    <row r="24" spans="2:8" ht="13" x14ac:dyDescent="0.15">
      <c r="B24" s="2">
        <v>46210</v>
      </c>
      <c r="C24" s="3" t="s">
        <v>300</v>
      </c>
      <c r="D24" s="3" t="s">
        <v>307</v>
      </c>
      <c r="E24" s="5">
        <v>2</v>
      </c>
      <c r="F24" s="6">
        <v>175000</v>
      </c>
      <c r="G24" s="8">
        <f t="shared" si="0"/>
        <v>350000</v>
      </c>
      <c r="H24" s="3"/>
    </row>
    <row r="25" spans="2:8" ht="13" x14ac:dyDescent="0.15">
      <c r="B25" s="2">
        <v>46210</v>
      </c>
      <c r="C25" s="3" t="s">
        <v>259</v>
      </c>
      <c r="D25" s="3" t="s">
        <v>15</v>
      </c>
      <c r="E25" s="5">
        <v>1</v>
      </c>
      <c r="F25" s="6">
        <v>2600000</v>
      </c>
      <c r="G25" s="8">
        <f t="shared" si="0"/>
        <v>2600000</v>
      </c>
      <c r="H25" s="3"/>
    </row>
    <row r="26" spans="2:8" ht="13" x14ac:dyDescent="0.15">
      <c r="B26" s="2">
        <v>46211</v>
      </c>
      <c r="C26" s="3" t="s">
        <v>8</v>
      </c>
      <c r="D26" s="3" t="s">
        <v>253</v>
      </c>
      <c r="E26" s="5">
        <v>1</v>
      </c>
      <c r="F26" s="6">
        <v>12000</v>
      </c>
      <c r="G26" s="8">
        <f t="shared" si="0"/>
        <v>12000</v>
      </c>
      <c r="H26" s="3"/>
    </row>
    <row r="27" spans="2:8" ht="13" x14ac:dyDescent="0.15">
      <c r="B27" s="2"/>
      <c r="C27" s="3"/>
      <c r="D27" s="3" t="s">
        <v>257</v>
      </c>
      <c r="E27" s="5">
        <v>6</v>
      </c>
      <c r="F27" s="6">
        <v>15000</v>
      </c>
      <c r="G27" s="8">
        <f t="shared" si="0"/>
        <v>90000</v>
      </c>
      <c r="H27" s="3"/>
    </row>
    <row r="28" spans="2:8" ht="13" x14ac:dyDescent="0.15">
      <c r="B28" s="2"/>
      <c r="C28" s="3"/>
      <c r="D28" s="3" t="s">
        <v>16</v>
      </c>
      <c r="E28" s="5">
        <v>30</v>
      </c>
      <c r="F28" s="6">
        <v>63000</v>
      </c>
      <c r="G28" s="8">
        <f t="shared" si="0"/>
        <v>1890000</v>
      </c>
      <c r="H28" s="3"/>
    </row>
    <row r="29" spans="2:8" ht="13" x14ac:dyDescent="0.15">
      <c r="B29" s="2"/>
      <c r="C29" s="3"/>
      <c r="D29" s="3" t="s">
        <v>10</v>
      </c>
      <c r="E29" s="5">
        <v>1</v>
      </c>
      <c r="F29" s="6">
        <v>450000</v>
      </c>
      <c r="G29" s="8">
        <f t="shared" si="0"/>
        <v>450000</v>
      </c>
      <c r="H29" s="3"/>
    </row>
    <row r="30" spans="2:8" ht="13" x14ac:dyDescent="0.15">
      <c r="B30" s="2"/>
      <c r="C30" s="3"/>
      <c r="D30" s="3" t="s">
        <v>313</v>
      </c>
      <c r="E30" s="5">
        <v>1</v>
      </c>
      <c r="F30" s="6">
        <v>48000</v>
      </c>
      <c r="G30" s="8">
        <f t="shared" si="0"/>
        <v>48000</v>
      </c>
      <c r="H30" s="3"/>
    </row>
    <row r="31" spans="2:8" ht="13" x14ac:dyDescent="0.15">
      <c r="B31" s="2">
        <v>46212</v>
      </c>
      <c r="C31" s="3" t="s">
        <v>39</v>
      </c>
      <c r="D31" s="3" t="s">
        <v>314</v>
      </c>
      <c r="E31" s="5">
        <v>5</v>
      </c>
      <c r="F31" s="6">
        <v>165000</v>
      </c>
      <c r="G31" s="8">
        <f t="shared" si="0"/>
        <v>825000</v>
      </c>
      <c r="H31" s="3"/>
    </row>
    <row r="32" spans="2:8" ht="13" x14ac:dyDescent="0.15">
      <c r="B32" s="2"/>
      <c r="C32" s="3"/>
      <c r="D32" s="3" t="s">
        <v>315</v>
      </c>
      <c r="E32" s="5">
        <v>2</v>
      </c>
      <c r="F32" s="6">
        <v>130000</v>
      </c>
      <c r="G32" s="8">
        <f t="shared" si="0"/>
        <v>260000</v>
      </c>
      <c r="H32" s="3"/>
    </row>
    <row r="33" spans="1:26" ht="13" x14ac:dyDescent="0.15">
      <c r="B33" s="2">
        <v>46212</v>
      </c>
      <c r="C33" s="3" t="s">
        <v>318</v>
      </c>
      <c r="D33" s="3" t="s">
        <v>319</v>
      </c>
      <c r="E33" s="5">
        <v>1</v>
      </c>
      <c r="F33" s="6">
        <v>390000</v>
      </c>
      <c r="G33" s="8">
        <f t="shared" si="0"/>
        <v>390000</v>
      </c>
      <c r="H33" s="3"/>
    </row>
    <row r="34" spans="1:26" ht="13" x14ac:dyDescent="0.15">
      <c r="B34" s="2">
        <v>46212</v>
      </c>
      <c r="C34" s="3" t="s">
        <v>322</v>
      </c>
      <c r="D34" s="3" t="s">
        <v>323</v>
      </c>
      <c r="E34" s="5">
        <v>1</v>
      </c>
      <c r="F34" s="6">
        <v>19000</v>
      </c>
      <c r="G34" s="8">
        <f t="shared" si="0"/>
        <v>19000</v>
      </c>
      <c r="H34" s="3"/>
    </row>
    <row r="35" spans="1:26" ht="13" x14ac:dyDescent="0.15">
      <c r="B35" s="2"/>
      <c r="C35" s="3"/>
      <c r="D35" s="3" t="s">
        <v>324</v>
      </c>
      <c r="E35" s="5">
        <v>1</v>
      </c>
      <c r="F35" s="6">
        <v>27000</v>
      </c>
      <c r="G35" s="8">
        <f t="shared" si="0"/>
        <v>27000</v>
      </c>
      <c r="H35" s="3"/>
    </row>
    <row r="36" spans="1:26" ht="13" x14ac:dyDescent="0.15">
      <c r="B36" s="2">
        <v>46212</v>
      </c>
      <c r="C36" s="3" t="s">
        <v>318</v>
      </c>
      <c r="D36" s="3" t="s">
        <v>326</v>
      </c>
      <c r="E36" s="5">
        <v>1</v>
      </c>
      <c r="F36" s="6">
        <v>390000</v>
      </c>
      <c r="G36" s="8">
        <f t="shared" si="0"/>
        <v>390000</v>
      </c>
      <c r="H36" s="3"/>
    </row>
    <row r="37" spans="1:26" ht="13" x14ac:dyDescent="0.15">
      <c r="B37" s="2">
        <v>46212</v>
      </c>
      <c r="C37" s="3" t="s">
        <v>322</v>
      </c>
      <c r="D37" s="3" t="s">
        <v>323</v>
      </c>
      <c r="E37" s="5">
        <v>1</v>
      </c>
      <c r="F37" s="6">
        <v>19000</v>
      </c>
      <c r="G37" s="8">
        <f t="shared" si="0"/>
        <v>19000</v>
      </c>
      <c r="H37" s="3"/>
    </row>
    <row r="38" spans="1:26" ht="13" x14ac:dyDescent="0.15">
      <c r="B38" s="2"/>
      <c r="C38" s="3"/>
      <c r="D38" s="3" t="s">
        <v>327</v>
      </c>
      <c r="E38" s="5">
        <v>1</v>
      </c>
      <c r="F38" s="6">
        <v>27000</v>
      </c>
      <c r="G38" s="8">
        <f t="shared" si="0"/>
        <v>27000</v>
      </c>
      <c r="H38" s="3"/>
    </row>
    <row r="39" spans="1:26" ht="13" x14ac:dyDescent="0.15">
      <c r="B39" s="2">
        <v>46213</v>
      </c>
      <c r="C39" s="3" t="s">
        <v>277</v>
      </c>
      <c r="D39" s="3" t="s">
        <v>298</v>
      </c>
      <c r="E39" s="5">
        <v>1</v>
      </c>
      <c r="F39" s="6">
        <v>1080000</v>
      </c>
      <c r="G39" s="8">
        <f t="shared" si="0"/>
        <v>1080000</v>
      </c>
      <c r="H39" s="3"/>
    </row>
    <row r="40" spans="1:26" ht="13" x14ac:dyDescent="0.15">
      <c r="B40" s="2"/>
      <c r="C40" s="3"/>
      <c r="D40" s="3" t="s">
        <v>329</v>
      </c>
      <c r="E40" s="5">
        <v>1</v>
      </c>
      <c r="F40" s="6">
        <v>50000</v>
      </c>
      <c r="G40" s="8">
        <f t="shared" si="0"/>
        <v>50000</v>
      </c>
      <c r="H40" s="3"/>
    </row>
    <row r="41" spans="1:26" ht="13" x14ac:dyDescent="0.15">
      <c r="A41" s="19"/>
      <c r="B41" s="20">
        <v>46183</v>
      </c>
      <c r="C41" s="21" t="s">
        <v>263</v>
      </c>
      <c r="D41" s="21" t="s">
        <v>264</v>
      </c>
      <c r="E41" s="22">
        <v>19</v>
      </c>
      <c r="F41" s="23">
        <v>15000</v>
      </c>
      <c r="G41" s="18">
        <f t="shared" si="0"/>
        <v>285000</v>
      </c>
      <c r="H41" s="21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" x14ac:dyDescent="0.15">
      <c r="A42" s="19"/>
      <c r="B42" s="25"/>
      <c r="C42" s="21"/>
      <c r="D42" s="21" t="s">
        <v>266</v>
      </c>
      <c r="E42" s="22">
        <v>19</v>
      </c>
      <c r="F42" s="23">
        <v>63000</v>
      </c>
      <c r="G42" s="18">
        <f t="shared" si="0"/>
        <v>1197000</v>
      </c>
      <c r="H42" s="21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" x14ac:dyDescent="0.15">
      <c r="A43" s="19"/>
      <c r="B43" s="25"/>
      <c r="C43" s="21"/>
      <c r="D43" s="21" t="s">
        <v>267</v>
      </c>
      <c r="E43" s="22">
        <v>12</v>
      </c>
      <c r="F43" s="23">
        <v>26000</v>
      </c>
      <c r="G43" s="18">
        <f t="shared" si="0"/>
        <v>312000</v>
      </c>
      <c r="H43" s="21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" x14ac:dyDescent="0.15">
      <c r="B44" s="2">
        <v>46214</v>
      </c>
      <c r="C44" s="3" t="s">
        <v>8</v>
      </c>
      <c r="D44" s="3" t="s">
        <v>164</v>
      </c>
      <c r="E44" s="5">
        <v>15</v>
      </c>
      <c r="F44" s="6">
        <v>9000</v>
      </c>
      <c r="G44" s="8">
        <f t="shared" si="0"/>
        <v>135000</v>
      </c>
      <c r="H44" s="3"/>
    </row>
    <row r="45" spans="1:26" ht="13" x14ac:dyDescent="0.15">
      <c r="B45" s="2">
        <v>46214</v>
      </c>
      <c r="C45" s="3" t="s">
        <v>8</v>
      </c>
      <c r="D45" s="3" t="s">
        <v>16</v>
      </c>
      <c r="E45" s="5">
        <v>30</v>
      </c>
      <c r="F45" s="6">
        <v>63000</v>
      </c>
      <c r="G45" s="8">
        <f t="shared" si="0"/>
        <v>1890000</v>
      </c>
      <c r="H45" s="3"/>
    </row>
    <row r="46" spans="1:26" ht="13" x14ac:dyDescent="0.15">
      <c r="B46" s="2"/>
      <c r="C46" s="3"/>
      <c r="D46" s="3" t="s">
        <v>204</v>
      </c>
      <c r="E46" s="5">
        <v>15</v>
      </c>
      <c r="F46" s="6">
        <v>24000</v>
      </c>
      <c r="G46" s="8">
        <f t="shared" si="0"/>
        <v>360000</v>
      </c>
      <c r="H46" s="3"/>
    </row>
    <row r="47" spans="1:26" ht="13" x14ac:dyDescent="0.15">
      <c r="B47" s="2"/>
      <c r="C47" s="3"/>
      <c r="D47" s="3" t="s">
        <v>331</v>
      </c>
      <c r="E47" s="5">
        <v>1</v>
      </c>
      <c r="F47" s="6">
        <v>95000</v>
      </c>
      <c r="G47" s="8">
        <f t="shared" si="0"/>
        <v>95000</v>
      </c>
      <c r="H47" s="3"/>
    </row>
    <row r="48" spans="1:26" ht="13" x14ac:dyDescent="0.15">
      <c r="B48" s="2">
        <v>46214</v>
      </c>
      <c r="C48" s="3" t="s">
        <v>8</v>
      </c>
      <c r="D48" s="3" t="s">
        <v>164</v>
      </c>
      <c r="E48" s="5">
        <v>15</v>
      </c>
      <c r="F48" s="6">
        <v>9000</v>
      </c>
      <c r="G48" s="8">
        <f t="shared" si="0"/>
        <v>135000</v>
      </c>
      <c r="H48" s="3"/>
    </row>
    <row r="49" spans="2:8" ht="13" x14ac:dyDescent="0.15">
      <c r="B49" s="2">
        <v>46215</v>
      </c>
      <c r="C49" s="3" t="s">
        <v>259</v>
      </c>
      <c r="D49" s="3" t="s">
        <v>43</v>
      </c>
      <c r="E49" s="5">
        <v>1</v>
      </c>
      <c r="F49" s="6">
        <v>2800000</v>
      </c>
      <c r="G49" s="8">
        <f t="shared" si="0"/>
        <v>2800000</v>
      </c>
      <c r="H49" s="3"/>
    </row>
    <row r="50" spans="2:8" ht="13" x14ac:dyDescent="0.15">
      <c r="B50" s="2">
        <v>46216</v>
      </c>
      <c r="C50" s="3" t="s">
        <v>8</v>
      </c>
      <c r="D50" s="3" t="s">
        <v>48</v>
      </c>
      <c r="E50" s="5">
        <v>5</v>
      </c>
      <c r="F50" s="6">
        <v>129000</v>
      </c>
      <c r="G50" s="8">
        <f t="shared" si="0"/>
        <v>645000</v>
      </c>
      <c r="H50" s="3"/>
    </row>
    <row r="51" spans="2:8" ht="13" x14ac:dyDescent="0.15">
      <c r="B51" s="2"/>
      <c r="C51" s="3"/>
      <c r="D51" s="3" t="s">
        <v>41</v>
      </c>
      <c r="E51" s="5">
        <v>10</v>
      </c>
      <c r="F51" s="6">
        <v>65000</v>
      </c>
      <c r="G51" s="8">
        <f t="shared" si="0"/>
        <v>650000</v>
      </c>
      <c r="H51" s="3"/>
    </row>
    <row r="52" spans="2:8" ht="13" x14ac:dyDescent="0.15">
      <c r="B52" s="2"/>
      <c r="C52" s="3"/>
      <c r="D52" s="3" t="s">
        <v>21</v>
      </c>
      <c r="E52" s="5">
        <v>5</v>
      </c>
      <c r="F52" s="6">
        <v>76000</v>
      </c>
      <c r="G52" s="8">
        <f t="shared" si="0"/>
        <v>380000</v>
      </c>
      <c r="H52" s="3"/>
    </row>
    <row r="53" spans="2:8" ht="13" x14ac:dyDescent="0.15">
      <c r="B53" s="2"/>
      <c r="C53" s="3"/>
      <c r="D53" s="3" t="s">
        <v>9</v>
      </c>
      <c r="E53" s="5">
        <v>10</v>
      </c>
      <c r="F53" s="6">
        <v>77000</v>
      </c>
      <c r="G53" s="8">
        <f t="shared" si="0"/>
        <v>770000</v>
      </c>
      <c r="H53" s="3"/>
    </row>
    <row r="54" spans="2:8" ht="13" x14ac:dyDescent="0.15">
      <c r="B54" s="2"/>
      <c r="C54" s="3"/>
      <c r="D54" s="3" t="s">
        <v>67</v>
      </c>
      <c r="E54" s="5">
        <v>10</v>
      </c>
      <c r="F54" s="6">
        <v>30000</v>
      </c>
      <c r="G54" s="8">
        <f t="shared" si="0"/>
        <v>300000</v>
      </c>
      <c r="H54" s="3"/>
    </row>
    <row r="55" spans="2:8" ht="13" x14ac:dyDescent="0.15">
      <c r="B55" s="2"/>
      <c r="C55" s="3"/>
      <c r="D55" s="3" t="s">
        <v>332</v>
      </c>
      <c r="E55" s="5">
        <v>1</v>
      </c>
      <c r="F55" s="6">
        <v>45000</v>
      </c>
      <c r="G55" s="8">
        <f t="shared" si="0"/>
        <v>45000</v>
      </c>
      <c r="H55" s="3"/>
    </row>
    <row r="56" spans="2:8" ht="13" x14ac:dyDescent="0.15">
      <c r="B56" s="2">
        <v>46217</v>
      </c>
      <c r="C56" s="3" t="s">
        <v>333</v>
      </c>
      <c r="D56" s="3" t="s">
        <v>333</v>
      </c>
      <c r="E56" s="5">
        <v>1</v>
      </c>
      <c r="F56" s="6">
        <v>1000000</v>
      </c>
      <c r="G56" s="8">
        <f t="shared" si="0"/>
        <v>1000000</v>
      </c>
      <c r="H56" s="3"/>
    </row>
    <row r="57" spans="2:8" ht="13" x14ac:dyDescent="0.15">
      <c r="B57" s="2">
        <v>46217</v>
      </c>
      <c r="C57" s="3" t="s">
        <v>8</v>
      </c>
      <c r="D57" s="3" t="s">
        <v>207</v>
      </c>
      <c r="E57" s="5">
        <v>1</v>
      </c>
      <c r="F57" s="6">
        <v>85000</v>
      </c>
      <c r="G57" s="8">
        <f t="shared" si="0"/>
        <v>85000</v>
      </c>
      <c r="H57" s="3"/>
    </row>
    <row r="58" spans="2:8" ht="13" x14ac:dyDescent="0.15">
      <c r="B58" s="2"/>
      <c r="C58" s="3"/>
      <c r="D58" s="3" t="s">
        <v>285</v>
      </c>
      <c r="E58" s="5">
        <v>1</v>
      </c>
      <c r="F58" s="6">
        <v>45000</v>
      </c>
      <c r="G58" s="8">
        <f t="shared" si="0"/>
        <v>45000</v>
      </c>
      <c r="H58" s="3"/>
    </row>
    <row r="59" spans="2:8" ht="13" x14ac:dyDescent="0.15">
      <c r="B59" s="2">
        <v>46218</v>
      </c>
      <c r="C59" s="3" t="s">
        <v>334</v>
      </c>
      <c r="D59" s="3" t="s">
        <v>282</v>
      </c>
      <c r="E59" s="5">
        <v>2</v>
      </c>
      <c r="F59" s="6">
        <v>450000</v>
      </c>
      <c r="G59" s="8">
        <f t="shared" si="0"/>
        <v>900000</v>
      </c>
      <c r="H59" s="3"/>
    </row>
    <row r="60" spans="2:8" ht="13" x14ac:dyDescent="0.15">
      <c r="B60" s="2">
        <v>46220</v>
      </c>
      <c r="C60" s="3" t="s">
        <v>8</v>
      </c>
      <c r="D60" s="3" t="s">
        <v>25</v>
      </c>
      <c r="E60" s="5">
        <v>1</v>
      </c>
      <c r="F60" s="6">
        <v>100000</v>
      </c>
      <c r="G60" s="8">
        <f t="shared" si="0"/>
        <v>100000</v>
      </c>
      <c r="H60" s="3"/>
    </row>
    <row r="61" spans="2:8" ht="13" x14ac:dyDescent="0.15">
      <c r="B61" s="2"/>
      <c r="C61" s="3"/>
      <c r="D61" s="3" t="s">
        <v>16</v>
      </c>
      <c r="E61" s="5">
        <v>30</v>
      </c>
      <c r="F61" s="6">
        <v>63000</v>
      </c>
      <c r="G61" s="8">
        <f t="shared" si="0"/>
        <v>1890000</v>
      </c>
      <c r="H61" s="3"/>
    </row>
    <row r="62" spans="2:8" ht="13" x14ac:dyDescent="0.15">
      <c r="B62" s="2"/>
      <c r="C62" s="3"/>
      <c r="D62" s="3" t="s">
        <v>304</v>
      </c>
      <c r="E62" s="5">
        <v>1</v>
      </c>
      <c r="F62" s="6">
        <v>40000</v>
      </c>
      <c r="G62" s="8">
        <f t="shared" si="0"/>
        <v>40000</v>
      </c>
      <c r="H62" s="3"/>
    </row>
    <row r="63" spans="2:8" ht="13" x14ac:dyDescent="0.15">
      <c r="B63" s="2"/>
      <c r="C63" s="3"/>
      <c r="D63" s="3" t="s">
        <v>304</v>
      </c>
      <c r="E63" s="5">
        <v>1</v>
      </c>
      <c r="F63" s="6">
        <v>15000</v>
      </c>
      <c r="G63" s="8">
        <f t="shared" si="0"/>
        <v>15000</v>
      </c>
      <c r="H63" s="3"/>
    </row>
    <row r="64" spans="2:8" ht="13" x14ac:dyDescent="0.15">
      <c r="B64" s="2">
        <v>46220</v>
      </c>
      <c r="C64" s="3" t="s">
        <v>45</v>
      </c>
      <c r="D64" s="3" t="s">
        <v>115</v>
      </c>
      <c r="E64" s="5">
        <v>57.86</v>
      </c>
      <c r="F64" s="6">
        <v>21150</v>
      </c>
      <c r="G64" s="8">
        <f t="shared" si="0"/>
        <v>1223739</v>
      </c>
      <c r="H64" s="3"/>
    </row>
    <row r="65" spans="2:8" ht="13" x14ac:dyDescent="0.15">
      <c r="B65" s="2">
        <v>46220</v>
      </c>
      <c r="C65" s="3" t="s">
        <v>259</v>
      </c>
      <c r="D65" s="3" t="s">
        <v>15</v>
      </c>
      <c r="E65" s="5">
        <v>1</v>
      </c>
      <c r="F65" s="6">
        <v>2600000</v>
      </c>
      <c r="G65" s="8">
        <f t="shared" si="0"/>
        <v>2600000</v>
      </c>
      <c r="H65" s="3"/>
    </row>
    <row r="66" spans="2:8" ht="13" x14ac:dyDescent="0.15">
      <c r="B66" s="2">
        <v>46220</v>
      </c>
      <c r="C66" s="3" t="s">
        <v>231</v>
      </c>
      <c r="D66" s="3" t="s">
        <v>335</v>
      </c>
      <c r="E66" s="5">
        <v>45</v>
      </c>
      <c r="F66" s="6">
        <v>50000</v>
      </c>
      <c r="G66" s="8">
        <f t="shared" si="0"/>
        <v>2250000</v>
      </c>
      <c r="H66" s="3"/>
    </row>
    <row r="67" spans="2:8" ht="13" x14ac:dyDescent="0.15">
      <c r="B67" s="2">
        <v>46221</v>
      </c>
      <c r="C67" s="3" t="s">
        <v>8</v>
      </c>
      <c r="D67" s="3" t="s">
        <v>35</v>
      </c>
      <c r="E67" s="5">
        <v>4</v>
      </c>
      <c r="F67" s="6">
        <v>20000</v>
      </c>
      <c r="G67" s="8">
        <f t="shared" si="0"/>
        <v>80000</v>
      </c>
      <c r="H67" s="3"/>
    </row>
    <row r="68" spans="2:8" ht="13" x14ac:dyDescent="0.15">
      <c r="B68" s="2"/>
      <c r="C68" s="3"/>
      <c r="D68" s="3" t="s">
        <v>207</v>
      </c>
      <c r="E68" s="5">
        <v>1</v>
      </c>
      <c r="F68" s="6">
        <v>85000</v>
      </c>
      <c r="G68" s="8">
        <f t="shared" si="0"/>
        <v>85000</v>
      </c>
      <c r="H68" s="3"/>
    </row>
    <row r="69" spans="2:8" ht="13" x14ac:dyDescent="0.15">
      <c r="B69" s="2">
        <v>46223</v>
      </c>
      <c r="C69" s="3" t="s">
        <v>39</v>
      </c>
      <c r="D69" s="3" t="s">
        <v>336</v>
      </c>
      <c r="E69" s="5">
        <v>4</v>
      </c>
      <c r="F69" s="6">
        <v>450000</v>
      </c>
      <c r="G69" s="8">
        <f t="shared" si="0"/>
        <v>1800000</v>
      </c>
      <c r="H69" s="3"/>
    </row>
    <row r="70" spans="2:8" ht="13" x14ac:dyDescent="0.15">
      <c r="B70" s="2">
        <v>46223</v>
      </c>
      <c r="C70" s="3" t="s">
        <v>337</v>
      </c>
      <c r="D70" s="3" t="s">
        <v>338</v>
      </c>
      <c r="E70" s="5">
        <v>1</v>
      </c>
      <c r="F70" s="6">
        <v>750000</v>
      </c>
      <c r="G70" s="8">
        <f t="shared" si="0"/>
        <v>750000</v>
      </c>
      <c r="H70" s="3"/>
    </row>
    <row r="71" spans="2:8" ht="13" x14ac:dyDescent="0.15">
      <c r="B71" s="2">
        <v>46224</v>
      </c>
      <c r="C71" s="3" t="s">
        <v>8</v>
      </c>
      <c r="D71" s="3" t="s">
        <v>132</v>
      </c>
      <c r="E71" s="5">
        <v>1</v>
      </c>
      <c r="F71" s="6">
        <v>38000</v>
      </c>
      <c r="G71" s="8">
        <f t="shared" si="0"/>
        <v>38000</v>
      </c>
      <c r="H71" s="3"/>
    </row>
    <row r="72" spans="2:8" ht="13" x14ac:dyDescent="0.15">
      <c r="B72" s="2">
        <v>46224</v>
      </c>
      <c r="C72" s="3" t="s">
        <v>8</v>
      </c>
      <c r="D72" s="3" t="s">
        <v>253</v>
      </c>
      <c r="E72" s="5">
        <v>3</v>
      </c>
      <c r="F72" s="6">
        <v>12000</v>
      </c>
      <c r="G72" s="8">
        <f t="shared" si="0"/>
        <v>36000</v>
      </c>
      <c r="H72" s="3"/>
    </row>
    <row r="73" spans="2:8" ht="13" x14ac:dyDescent="0.15">
      <c r="B73" s="2"/>
      <c r="C73" s="3"/>
      <c r="D73" s="3" t="s">
        <v>69</v>
      </c>
      <c r="E73" s="5">
        <v>1</v>
      </c>
      <c r="F73" s="6">
        <v>10000</v>
      </c>
      <c r="G73" s="8">
        <f t="shared" si="0"/>
        <v>10000</v>
      </c>
      <c r="H73" s="3"/>
    </row>
    <row r="74" spans="2:8" ht="13" x14ac:dyDescent="0.15">
      <c r="B74" s="2">
        <v>46224</v>
      </c>
      <c r="C74" s="3" t="s">
        <v>334</v>
      </c>
      <c r="D74" s="3" t="s">
        <v>282</v>
      </c>
      <c r="E74" s="5">
        <v>1</v>
      </c>
      <c r="F74" s="6">
        <v>450000</v>
      </c>
      <c r="G74" s="8">
        <f t="shared" si="0"/>
        <v>450000</v>
      </c>
      <c r="H74" s="3"/>
    </row>
    <row r="75" spans="2:8" ht="13" x14ac:dyDescent="0.15">
      <c r="B75" s="2">
        <v>46226</v>
      </c>
      <c r="C75" s="3" t="s">
        <v>8</v>
      </c>
      <c r="D75" s="3" t="s">
        <v>16</v>
      </c>
      <c r="E75" s="5">
        <v>30</v>
      </c>
      <c r="F75" s="6">
        <v>63000</v>
      </c>
      <c r="G75" s="8">
        <f t="shared" si="0"/>
        <v>1890000</v>
      </c>
      <c r="H75" s="3"/>
    </row>
    <row r="76" spans="2:8" ht="13" x14ac:dyDescent="0.15">
      <c r="B76" s="2"/>
      <c r="C76" s="3"/>
      <c r="D76" s="3" t="s">
        <v>10</v>
      </c>
      <c r="E76" s="5">
        <v>1</v>
      </c>
      <c r="F76" s="6">
        <v>460000</v>
      </c>
      <c r="G76" s="8">
        <f t="shared" si="0"/>
        <v>460000</v>
      </c>
      <c r="H76" s="3"/>
    </row>
    <row r="77" spans="2:8" ht="13" x14ac:dyDescent="0.15">
      <c r="B77" s="2"/>
      <c r="C77" s="3"/>
      <c r="D77" s="3" t="s">
        <v>48</v>
      </c>
      <c r="E77" s="5">
        <v>10</v>
      </c>
      <c r="F77" s="6">
        <v>128500</v>
      </c>
      <c r="G77" s="8">
        <f t="shared" si="0"/>
        <v>1285000</v>
      </c>
      <c r="H77" s="3"/>
    </row>
    <row r="78" spans="2:8" ht="13" x14ac:dyDescent="0.15">
      <c r="B78" s="2"/>
      <c r="C78" s="3"/>
      <c r="D78" s="3" t="s">
        <v>40</v>
      </c>
      <c r="E78" s="5">
        <v>10</v>
      </c>
      <c r="F78" s="6">
        <v>76000</v>
      </c>
      <c r="G78" s="8">
        <f t="shared" si="0"/>
        <v>760000</v>
      </c>
      <c r="H78" s="3"/>
    </row>
    <row r="79" spans="2:8" ht="13" x14ac:dyDescent="0.15">
      <c r="B79" s="2"/>
      <c r="C79" s="3"/>
      <c r="D79" s="3" t="s">
        <v>241</v>
      </c>
      <c r="E79" s="5">
        <v>5</v>
      </c>
      <c r="F79" s="6">
        <v>30000</v>
      </c>
      <c r="G79" s="8">
        <f t="shared" si="0"/>
        <v>150000</v>
      </c>
      <c r="H79" s="3"/>
    </row>
    <row r="80" spans="2:8" ht="13" x14ac:dyDescent="0.15">
      <c r="B80" s="2"/>
      <c r="C80" s="3"/>
      <c r="D80" s="3" t="s">
        <v>35</v>
      </c>
      <c r="E80" s="5">
        <v>2</v>
      </c>
      <c r="F80" s="6">
        <v>20000</v>
      </c>
      <c r="G80" s="8">
        <f t="shared" si="0"/>
        <v>40000</v>
      </c>
      <c r="H80" s="3"/>
    </row>
    <row r="81" spans="2:8" ht="13" x14ac:dyDescent="0.15">
      <c r="B81" s="2"/>
      <c r="C81" s="3"/>
      <c r="D81" s="3" t="s">
        <v>339</v>
      </c>
      <c r="E81" s="5">
        <v>2</v>
      </c>
      <c r="F81" s="6">
        <v>12000</v>
      </c>
      <c r="G81" s="8">
        <f t="shared" si="0"/>
        <v>24000</v>
      </c>
      <c r="H81" s="3"/>
    </row>
    <row r="82" spans="2:8" ht="13" x14ac:dyDescent="0.15">
      <c r="B82" s="2"/>
      <c r="C82" s="3"/>
      <c r="D82" s="3" t="s">
        <v>308</v>
      </c>
      <c r="E82" s="5">
        <v>2</v>
      </c>
      <c r="F82" s="6">
        <v>12000</v>
      </c>
      <c r="G82" s="8">
        <f t="shared" si="0"/>
        <v>24000</v>
      </c>
      <c r="H82" s="3"/>
    </row>
    <row r="83" spans="2:8" ht="13" x14ac:dyDescent="0.15">
      <c r="B83" s="2"/>
      <c r="C83" s="3"/>
      <c r="D83" s="3" t="s">
        <v>342</v>
      </c>
      <c r="E83" s="5">
        <v>1</v>
      </c>
      <c r="F83" s="6">
        <v>250000</v>
      </c>
      <c r="G83" s="8">
        <f t="shared" si="0"/>
        <v>250000</v>
      </c>
      <c r="H83" s="3"/>
    </row>
    <row r="84" spans="2:8" ht="13" x14ac:dyDescent="0.15">
      <c r="B84" s="2">
        <v>46226</v>
      </c>
      <c r="C84" s="3" t="s">
        <v>343</v>
      </c>
      <c r="D84" s="3" t="s">
        <v>344</v>
      </c>
      <c r="E84" s="5">
        <v>1</v>
      </c>
      <c r="F84" s="6">
        <v>6150000</v>
      </c>
      <c r="G84" s="8">
        <f t="shared" si="0"/>
        <v>6150000</v>
      </c>
      <c r="H84" s="3"/>
    </row>
    <row r="85" spans="2:8" ht="13" x14ac:dyDescent="0.15">
      <c r="B85" s="2">
        <v>46226</v>
      </c>
      <c r="C85" s="3" t="s">
        <v>343</v>
      </c>
      <c r="D85" s="3" t="s">
        <v>347</v>
      </c>
      <c r="E85" s="5">
        <v>1</v>
      </c>
      <c r="F85" s="6">
        <v>400000</v>
      </c>
      <c r="G85" s="8">
        <f t="shared" si="0"/>
        <v>400000</v>
      </c>
      <c r="H85" s="3"/>
    </row>
    <row r="86" spans="2:8" ht="13" x14ac:dyDescent="0.15">
      <c r="B86" s="2">
        <v>46227</v>
      </c>
      <c r="C86" s="3" t="s">
        <v>8</v>
      </c>
      <c r="D86" s="3" t="s">
        <v>348</v>
      </c>
      <c r="E86" s="5">
        <v>1</v>
      </c>
      <c r="F86" s="6">
        <v>8000</v>
      </c>
      <c r="G86" s="8">
        <f t="shared" si="0"/>
        <v>8000</v>
      </c>
      <c r="H86" s="3"/>
    </row>
    <row r="87" spans="2:8" ht="13" x14ac:dyDescent="0.15">
      <c r="B87" s="2"/>
      <c r="C87" s="3"/>
      <c r="D87" s="3" t="s">
        <v>350</v>
      </c>
      <c r="E87" s="5">
        <v>10</v>
      </c>
      <c r="F87" s="6">
        <v>15000</v>
      </c>
      <c r="G87" s="8">
        <f t="shared" si="0"/>
        <v>150000</v>
      </c>
      <c r="H87" s="3"/>
    </row>
    <row r="88" spans="2:8" ht="13" x14ac:dyDescent="0.15">
      <c r="B88" s="2"/>
      <c r="C88" s="3"/>
      <c r="D88" s="3" t="s">
        <v>35</v>
      </c>
      <c r="E88" s="5">
        <v>2</v>
      </c>
      <c r="F88" s="6">
        <v>120000</v>
      </c>
      <c r="G88" s="8">
        <f t="shared" si="0"/>
        <v>240000</v>
      </c>
      <c r="H88" s="3"/>
    </row>
    <row r="89" spans="2:8" ht="13" x14ac:dyDescent="0.15">
      <c r="B89" s="2">
        <v>46228</v>
      </c>
      <c r="C89" s="3" t="s">
        <v>8</v>
      </c>
      <c r="D89" s="3" t="s">
        <v>352</v>
      </c>
      <c r="E89" s="5">
        <v>15</v>
      </c>
      <c r="F89" s="6">
        <v>9000</v>
      </c>
      <c r="G89" s="8">
        <f t="shared" si="0"/>
        <v>135000</v>
      </c>
      <c r="H89" s="3"/>
    </row>
    <row r="90" spans="2:8" ht="13" x14ac:dyDescent="0.15">
      <c r="B90" s="2"/>
      <c r="C90" s="3"/>
      <c r="D90" s="3" t="s">
        <v>353</v>
      </c>
      <c r="E90" s="5">
        <v>1</v>
      </c>
      <c r="F90" s="6">
        <v>50000</v>
      </c>
      <c r="G90" s="8">
        <f t="shared" si="0"/>
        <v>50000</v>
      </c>
      <c r="H90" s="3"/>
    </row>
    <row r="91" spans="2:8" ht="13" x14ac:dyDescent="0.15">
      <c r="B91" s="2">
        <v>46228</v>
      </c>
      <c r="C91" s="3" t="s">
        <v>8</v>
      </c>
      <c r="D91" s="3" t="s">
        <v>204</v>
      </c>
      <c r="E91" s="5">
        <v>20</v>
      </c>
      <c r="F91" s="6">
        <v>24000</v>
      </c>
      <c r="G91" s="8">
        <f t="shared" si="0"/>
        <v>480000</v>
      </c>
      <c r="H91" s="3"/>
    </row>
    <row r="92" spans="2:8" ht="13" x14ac:dyDescent="0.15">
      <c r="B92" s="2">
        <v>46229</v>
      </c>
      <c r="C92" s="3" t="s">
        <v>259</v>
      </c>
      <c r="D92" s="3" t="s">
        <v>43</v>
      </c>
      <c r="E92" s="5">
        <v>1</v>
      </c>
      <c r="F92" s="6">
        <v>2800000</v>
      </c>
      <c r="G92" s="8">
        <f t="shared" si="0"/>
        <v>2800000</v>
      </c>
      <c r="H92" s="3"/>
    </row>
    <row r="93" spans="2:8" ht="13" x14ac:dyDescent="0.15">
      <c r="B93" s="2">
        <v>46229</v>
      </c>
      <c r="C93" s="3" t="s">
        <v>357</v>
      </c>
      <c r="D93" s="3" t="s">
        <v>358</v>
      </c>
      <c r="E93" s="5">
        <v>1</v>
      </c>
      <c r="F93" s="6">
        <v>10000</v>
      </c>
      <c r="G93" s="8">
        <f t="shared" si="0"/>
        <v>10000</v>
      </c>
      <c r="H93" s="3"/>
    </row>
    <row r="94" spans="2:8" ht="13" x14ac:dyDescent="0.15">
      <c r="B94" s="2"/>
      <c r="C94" s="3"/>
      <c r="D94" s="3" t="s">
        <v>359</v>
      </c>
      <c r="E94" s="5">
        <v>1</v>
      </c>
      <c r="F94" s="6">
        <v>50000</v>
      </c>
      <c r="G94" s="8">
        <f t="shared" si="0"/>
        <v>50000</v>
      </c>
      <c r="H94" s="3"/>
    </row>
    <row r="95" spans="2:8" ht="13" x14ac:dyDescent="0.15">
      <c r="B95" s="2"/>
      <c r="C95" s="3"/>
      <c r="D95" s="3" t="s">
        <v>361</v>
      </c>
      <c r="E95" s="5">
        <v>1</v>
      </c>
      <c r="F95" s="6">
        <v>50000</v>
      </c>
      <c r="G95" s="8">
        <f t="shared" si="0"/>
        <v>50000</v>
      </c>
      <c r="H95" s="3"/>
    </row>
    <row r="96" spans="2:8" ht="13" x14ac:dyDescent="0.15">
      <c r="B96" s="2"/>
      <c r="C96" s="3"/>
      <c r="D96" s="3" t="s">
        <v>362</v>
      </c>
      <c r="E96" s="5">
        <v>1</v>
      </c>
      <c r="F96" s="6">
        <v>110000</v>
      </c>
      <c r="G96" s="8">
        <f t="shared" si="0"/>
        <v>110000</v>
      </c>
      <c r="H96" s="3"/>
    </row>
    <row r="97" spans="2:8" ht="13" x14ac:dyDescent="0.15">
      <c r="B97" s="2"/>
      <c r="C97" s="3"/>
      <c r="D97" s="3" t="s">
        <v>363</v>
      </c>
      <c r="E97" s="5">
        <v>10</v>
      </c>
      <c r="F97" s="6">
        <v>2000</v>
      </c>
      <c r="G97" s="8">
        <f t="shared" si="0"/>
        <v>20000</v>
      </c>
      <c r="H97" s="3"/>
    </row>
    <row r="98" spans="2:8" ht="13" x14ac:dyDescent="0.15">
      <c r="B98" s="2"/>
      <c r="C98" s="3"/>
      <c r="D98" s="3" t="s">
        <v>364</v>
      </c>
      <c r="E98" s="5">
        <v>10</v>
      </c>
      <c r="F98" s="6">
        <v>1000</v>
      </c>
      <c r="G98" s="8">
        <f t="shared" si="0"/>
        <v>10000</v>
      </c>
      <c r="H98" s="3"/>
    </row>
    <row r="99" spans="2:8" ht="13" x14ac:dyDescent="0.15">
      <c r="B99" s="2">
        <v>46230</v>
      </c>
      <c r="C99" s="3" t="s">
        <v>8</v>
      </c>
      <c r="D99" s="3" t="s">
        <v>25</v>
      </c>
      <c r="E99" s="5">
        <v>1</v>
      </c>
      <c r="F99" s="6">
        <v>100000</v>
      </c>
      <c r="G99" s="8">
        <f t="shared" si="0"/>
        <v>100000</v>
      </c>
      <c r="H99" s="3"/>
    </row>
    <row r="100" spans="2:8" ht="13" x14ac:dyDescent="0.15">
      <c r="B100" s="2"/>
      <c r="C100" s="3"/>
      <c r="D100" s="3" t="s">
        <v>339</v>
      </c>
      <c r="E100" s="5">
        <v>3</v>
      </c>
      <c r="F100" s="6">
        <v>12000</v>
      </c>
      <c r="G100" s="8">
        <f t="shared" si="0"/>
        <v>36000</v>
      </c>
      <c r="H100" s="3"/>
    </row>
    <row r="101" spans="2:8" ht="13" x14ac:dyDescent="0.15">
      <c r="B101" s="2">
        <v>46230</v>
      </c>
      <c r="C101" s="3" t="s">
        <v>8</v>
      </c>
      <c r="D101" s="3" t="s">
        <v>16</v>
      </c>
      <c r="E101" s="5">
        <v>30</v>
      </c>
      <c r="F101" s="6">
        <v>63000</v>
      </c>
      <c r="G101" s="8">
        <f t="shared" si="0"/>
        <v>1890000</v>
      </c>
      <c r="H101" s="3"/>
    </row>
    <row r="102" spans="2:8" ht="13" x14ac:dyDescent="0.15">
      <c r="B102" s="2">
        <v>46231</v>
      </c>
      <c r="C102" s="3" t="s">
        <v>259</v>
      </c>
      <c r="D102" s="3" t="s">
        <v>15</v>
      </c>
      <c r="E102" s="5">
        <v>1</v>
      </c>
      <c r="F102" s="6">
        <v>2600000</v>
      </c>
      <c r="G102" s="8">
        <f t="shared" si="0"/>
        <v>2600000</v>
      </c>
      <c r="H102" s="3"/>
    </row>
    <row r="103" spans="2:8" ht="13" x14ac:dyDescent="0.15">
      <c r="B103" s="2">
        <v>46232</v>
      </c>
      <c r="C103" s="3"/>
      <c r="D103" s="3" t="s">
        <v>365</v>
      </c>
      <c r="E103" s="5">
        <v>20</v>
      </c>
      <c r="F103" s="6">
        <v>2500</v>
      </c>
      <c r="G103" s="8">
        <f t="shared" si="0"/>
        <v>50000</v>
      </c>
      <c r="H103" s="3"/>
    </row>
    <row r="104" spans="2:8" ht="13" x14ac:dyDescent="0.15">
      <c r="B104" s="2"/>
      <c r="C104" s="3"/>
      <c r="D104" s="3" t="s">
        <v>366</v>
      </c>
      <c r="E104" s="5">
        <v>1</v>
      </c>
      <c r="F104" s="6">
        <v>18000</v>
      </c>
      <c r="G104" s="8">
        <f t="shared" si="0"/>
        <v>18000</v>
      </c>
      <c r="H104" s="3"/>
    </row>
    <row r="105" spans="2:8" ht="13" x14ac:dyDescent="0.15">
      <c r="B105" s="2">
        <v>46232</v>
      </c>
      <c r="C105" s="3" t="s">
        <v>367</v>
      </c>
      <c r="D105" s="3" t="s">
        <v>368</v>
      </c>
      <c r="E105" s="5">
        <v>1</v>
      </c>
      <c r="F105" s="6">
        <v>450000</v>
      </c>
      <c r="G105" s="8">
        <f t="shared" si="0"/>
        <v>450000</v>
      </c>
      <c r="H105" s="3"/>
    </row>
    <row r="106" spans="2:8" ht="13" x14ac:dyDescent="0.15">
      <c r="B106" s="2">
        <v>46233</v>
      </c>
      <c r="C106" s="3" t="s">
        <v>8</v>
      </c>
      <c r="D106" s="3" t="s">
        <v>369</v>
      </c>
      <c r="E106" s="5">
        <v>2</v>
      </c>
      <c r="F106" s="6">
        <v>95000</v>
      </c>
      <c r="G106" s="8">
        <f t="shared" si="0"/>
        <v>190000</v>
      </c>
      <c r="H106" s="3"/>
    </row>
    <row r="107" spans="2:8" ht="13" x14ac:dyDescent="0.15">
      <c r="B107" s="2"/>
      <c r="C107" s="3"/>
      <c r="D107" s="3" t="s">
        <v>370</v>
      </c>
      <c r="E107" s="5">
        <v>1</v>
      </c>
      <c r="F107" s="6">
        <v>50000</v>
      </c>
      <c r="G107" s="8">
        <f t="shared" si="0"/>
        <v>50000</v>
      </c>
      <c r="H107" s="3"/>
    </row>
    <row r="108" spans="2:8" ht="13" x14ac:dyDescent="0.15">
      <c r="B108" s="2">
        <v>46234</v>
      </c>
      <c r="C108" s="3" t="s">
        <v>8</v>
      </c>
      <c r="D108" s="3" t="s">
        <v>365</v>
      </c>
      <c r="E108" s="5">
        <v>20</v>
      </c>
      <c r="F108" s="6">
        <v>2500</v>
      </c>
      <c r="G108" s="8">
        <f t="shared" si="0"/>
        <v>50000</v>
      </c>
      <c r="H108" s="3"/>
    </row>
    <row r="109" spans="2:8" ht="13" x14ac:dyDescent="0.15">
      <c r="B109" s="2"/>
      <c r="C109" s="3"/>
      <c r="D109" s="3"/>
      <c r="E109" s="5"/>
      <c r="F109" s="6"/>
      <c r="G109" s="8">
        <f t="shared" si="0"/>
        <v>0</v>
      </c>
      <c r="H109" s="3"/>
    </row>
    <row r="110" spans="2:8" ht="13" x14ac:dyDescent="0.15">
      <c r="B110" s="2"/>
      <c r="C110" s="3"/>
      <c r="D110" s="3"/>
      <c r="E110" s="5"/>
      <c r="F110" s="6"/>
      <c r="G110" s="8">
        <f t="shared" si="0"/>
        <v>0</v>
      </c>
      <c r="H110" s="3"/>
    </row>
    <row r="111" spans="2:8" ht="13" x14ac:dyDescent="0.15">
      <c r="B111" s="2"/>
      <c r="C111" s="3"/>
      <c r="D111" s="3"/>
      <c r="E111" s="5"/>
      <c r="F111" s="6"/>
      <c r="G111" s="8">
        <f t="shared" si="0"/>
        <v>0</v>
      </c>
      <c r="H111" s="3"/>
    </row>
    <row r="112" spans="2:8" ht="13" x14ac:dyDescent="0.15">
      <c r="B112" s="2"/>
      <c r="C112" s="3"/>
      <c r="D112" s="3"/>
      <c r="E112" s="5"/>
      <c r="F112" s="6"/>
      <c r="G112" s="8">
        <f t="shared" si="0"/>
        <v>0</v>
      </c>
      <c r="H112" s="3"/>
    </row>
    <row r="113" spans="2:8" ht="13" x14ac:dyDescent="0.15">
      <c r="B113" s="2"/>
      <c r="C113" s="3"/>
      <c r="D113" s="3"/>
      <c r="E113" s="5"/>
      <c r="F113" s="6"/>
      <c r="G113" s="8">
        <f t="shared" si="0"/>
        <v>0</v>
      </c>
      <c r="H113" s="3"/>
    </row>
    <row r="114" spans="2:8" ht="13" x14ac:dyDescent="0.15">
      <c r="B114" s="2"/>
      <c r="C114" s="3"/>
      <c r="D114" s="3"/>
      <c r="E114" s="5"/>
      <c r="F114" s="6"/>
      <c r="G114" s="8">
        <f t="shared" si="0"/>
        <v>0</v>
      </c>
      <c r="H114" s="3"/>
    </row>
    <row r="115" spans="2:8" ht="13" x14ac:dyDescent="0.15">
      <c r="B115" s="2"/>
      <c r="C115" s="3"/>
      <c r="D115" s="3"/>
      <c r="E115" s="5"/>
      <c r="F115" s="6"/>
      <c r="G115" s="8">
        <f t="shared" si="0"/>
        <v>0</v>
      </c>
      <c r="H115" s="3"/>
    </row>
    <row r="116" spans="2:8" ht="13" x14ac:dyDescent="0.15">
      <c r="B116" s="2"/>
      <c r="C116" s="3"/>
      <c r="D116" s="3"/>
      <c r="E116" s="5"/>
      <c r="F116" s="6"/>
      <c r="G116" s="8">
        <f t="shared" si="0"/>
        <v>0</v>
      </c>
      <c r="H116" s="3"/>
    </row>
    <row r="117" spans="2:8" ht="13" x14ac:dyDescent="0.15">
      <c r="B117" s="2"/>
      <c r="C117" s="3"/>
      <c r="D117" s="3"/>
      <c r="E117" s="5"/>
      <c r="F117" s="6"/>
      <c r="G117" s="8">
        <f t="shared" si="0"/>
        <v>0</v>
      </c>
      <c r="H117" s="3"/>
    </row>
    <row r="118" spans="2:8" ht="13" x14ac:dyDescent="0.15">
      <c r="B118" s="2"/>
      <c r="C118" s="3"/>
      <c r="D118" s="3"/>
      <c r="E118" s="5"/>
      <c r="F118" s="6"/>
      <c r="G118" s="8">
        <f t="shared" si="0"/>
        <v>0</v>
      </c>
      <c r="H118" s="3"/>
    </row>
    <row r="119" spans="2:8" ht="13" x14ac:dyDescent="0.15">
      <c r="B119" s="2"/>
      <c r="C119" s="3"/>
      <c r="D119" s="3"/>
      <c r="E119" s="5"/>
      <c r="F119" s="6"/>
      <c r="G119" s="8">
        <f t="shared" si="0"/>
        <v>0</v>
      </c>
      <c r="H119" s="3"/>
    </row>
    <row r="120" spans="2:8" ht="13" x14ac:dyDescent="0.15">
      <c r="B120" s="2"/>
      <c r="C120" s="3"/>
      <c r="D120" s="3"/>
      <c r="E120" s="5"/>
      <c r="F120" s="6"/>
      <c r="G120" s="8">
        <f t="shared" si="0"/>
        <v>0</v>
      </c>
      <c r="H120" s="3"/>
    </row>
    <row r="121" spans="2:8" ht="13" x14ac:dyDescent="0.15">
      <c r="B121" s="2"/>
      <c r="C121" s="3"/>
      <c r="D121" s="3"/>
      <c r="E121" s="5"/>
      <c r="F121" s="6"/>
      <c r="G121" s="8">
        <f t="shared" si="0"/>
        <v>0</v>
      </c>
      <c r="H121" s="3"/>
    </row>
    <row r="122" spans="2:8" ht="13" x14ac:dyDescent="0.15">
      <c r="B122" s="2"/>
      <c r="C122" s="3"/>
      <c r="D122" s="3"/>
      <c r="E122" s="5"/>
      <c r="F122" s="6"/>
      <c r="G122" s="8">
        <f t="shared" si="0"/>
        <v>0</v>
      </c>
      <c r="H122" s="3"/>
    </row>
    <row r="123" spans="2:8" ht="13" x14ac:dyDescent="0.15">
      <c r="B123" s="2"/>
      <c r="C123" s="3"/>
      <c r="D123" s="3"/>
      <c r="E123" s="5"/>
      <c r="F123" s="6"/>
      <c r="G123" s="8">
        <f t="shared" si="0"/>
        <v>0</v>
      </c>
      <c r="H123" s="3"/>
    </row>
    <row r="124" spans="2:8" ht="13" x14ac:dyDescent="0.15">
      <c r="B124" s="2"/>
      <c r="C124" s="3"/>
      <c r="D124" s="3"/>
      <c r="E124" s="5"/>
      <c r="F124" s="6"/>
      <c r="G124" s="8">
        <f t="shared" si="0"/>
        <v>0</v>
      </c>
      <c r="H124" s="3"/>
    </row>
    <row r="125" spans="2:8" ht="13" x14ac:dyDescent="0.15">
      <c r="B125" s="2"/>
      <c r="C125" s="3"/>
      <c r="D125" s="3"/>
      <c r="E125" s="5"/>
      <c r="F125" s="6"/>
      <c r="G125" s="8">
        <f t="shared" si="0"/>
        <v>0</v>
      </c>
      <c r="H125" s="3"/>
    </row>
    <row r="126" spans="2:8" ht="13" x14ac:dyDescent="0.15">
      <c r="B126" s="2"/>
      <c r="C126" s="3"/>
      <c r="D126" s="3"/>
      <c r="E126" s="5"/>
      <c r="F126" s="6"/>
      <c r="G126" s="8">
        <f t="shared" si="0"/>
        <v>0</v>
      </c>
      <c r="H126" s="3"/>
    </row>
    <row r="127" spans="2:8" ht="13" x14ac:dyDescent="0.15">
      <c r="B127" s="2"/>
      <c r="C127" s="3"/>
      <c r="D127" s="3"/>
      <c r="E127" s="5"/>
      <c r="F127" s="6"/>
      <c r="G127" s="8">
        <f t="shared" si="0"/>
        <v>0</v>
      </c>
      <c r="H127" s="3"/>
    </row>
    <row r="128" spans="2:8" ht="13" x14ac:dyDescent="0.15">
      <c r="B128" s="9"/>
      <c r="C128" s="10"/>
      <c r="D128" s="10"/>
      <c r="E128" s="11"/>
      <c r="F128" s="12"/>
      <c r="G128" s="8">
        <f t="shared" si="0"/>
        <v>0</v>
      </c>
      <c r="H128" s="10"/>
    </row>
    <row r="129" spans="2:8" ht="13" x14ac:dyDescent="0.15">
      <c r="B129" s="9"/>
      <c r="C129" s="10"/>
      <c r="D129" s="10"/>
      <c r="E129" s="11"/>
      <c r="F129" s="12"/>
      <c r="G129" s="8">
        <f t="shared" si="0"/>
        <v>0</v>
      </c>
      <c r="H129" s="10"/>
    </row>
    <row r="130" spans="2:8" ht="13" x14ac:dyDescent="0.15">
      <c r="B130" s="9"/>
      <c r="C130" s="10"/>
      <c r="D130" s="10"/>
      <c r="E130" s="11"/>
      <c r="F130" s="12"/>
      <c r="G130" s="8">
        <f t="shared" si="0"/>
        <v>0</v>
      </c>
      <c r="H130" s="10"/>
    </row>
    <row r="131" spans="2:8" ht="13" x14ac:dyDescent="0.15">
      <c r="B131" s="9"/>
      <c r="C131" s="10"/>
      <c r="D131" s="10"/>
      <c r="E131" s="11"/>
      <c r="F131" s="12"/>
      <c r="G131" s="8">
        <f t="shared" si="0"/>
        <v>0</v>
      </c>
      <c r="H131" s="10"/>
    </row>
    <row r="132" spans="2:8" ht="13" x14ac:dyDescent="0.15">
      <c r="B132" s="9"/>
      <c r="C132" s="10"/>
      <c r="D132" s="10"/>
      <c r="E132" s="11"/>
      <c r="F132" s="12"/>
      <c r="G132" s="8">
        <f t="shared" si="0"/>
        <v>0</v>
      </c>
      <c r="H132" s="10"/>
    </row>
    <row r="133" spans="2:8" ht="13" x14ac:dyDescent="0.15">
      <c r="B133" s="9"/>
      <c r="C133" s="10"/>
      <c r="D133" s="10"/>
      <c r="E133" s="11"/>
      <c r="F133" s="12"/>
      <c r="G133" s="8">
        <f t="shared" si="0"/>
        <v>0</v>
      </c>
      <c r="H133" s="10"/>
    </row>
    <row r="134" spans="2:8" ht="13" x14ac:dyDescent="0.15">
      <c r="B134" s="9"/>
      <c r="C134" s="10"/>
      <c r="D134" s="10"/>
      <c r="E134" s="11"/>
      <c r="F134" s="12"/>
      <c r="G134" s="8">
        <f t="shared" si="0"/>
        <v>0</v>
      </c>
      <c r="H134" s="10"/>
    </row>
    <row r="135" spans="2:8" ht="13" x14ac:dyDescent="0.15">
      <c r="B135" s="9"/>
      <c r="C135" s="10"/>
      <c r="D135" s="10"/>
      <c r="E135" s="11"/>
      <c r="F135" s="12"/>
      <c r="G135" s="8">
        <f t="shared" si="0"/>
        <v>0</v>
      </c>
      <c r="H135" s="10"/>
    </row>
    <row r="136" spans="2:8" ht="13" x14ac:dyDescent="0.15">
      <c r="B136" s="9"/>
      <c r="C136" s="10"/>
      <c r="D136" s="10"/>
      <c r="E136" s="11"/>
      <c r="F136" s="12"/>
      <c r="G136" s="8">
        <f t="shared" si="0"/>
        <v>0</v>
      </c>
      <c r="H136" s="10"/>
    </row>
    <row r="137" spans="2:8" ht="13" x14ac:dyDescent="0.15">
      <c r="B137" s="9"/>
      <c r="C137" s="10"/>
      <c r="D137" s="10"/>
      <c r="E137" s="11"/>
      <c r="F137" s="12"/>
      <c r="G137" s="8">
        <f t="shared" si="0"/>
        <v>0</v>
      </c>
      <c r="H137" s="10"/>
    </row>
    <row r="138" spans="2:8" ht="13" x14ac:dyDescent="0.15">
      <c r="B138" s="9"/>
      <c r="C138" s="10"/>
      <c r="D138" s="10"/>
      <c r="E138" s="11"/>
      <c r="F138" s="12"/>
      <c r="G138" s="8">
        <f t="shared" si="0"/>
        <v>0</v>
      </c>
      <c r="H138" s="10"/>
    </row>
    <row r="139" spans="2:8" ht="13" x14ac:dyDescent="0.15">
      <c r="B139" s="9"/>
      <c r="C139" s="10"/>
      <c r="D139" s="10"/>
      <c r="E139" s="11"/>
      <c r="F139" s="12"/>
      <c r="G139" s="8">
        <f t="shared" si="0"/>
        <v>0</v>
      </c>
      <c r="H139" s="10"/>
    </row>
    <row r="140" spans="2:8" ht="13" x14ac:dyDescent="0.15">
      <c r="B140" s="9"/>
      <c r="C140" s="10"/>
      <c r="D140" s="10"/>
      <c r="E140" s="11"/>
      <c r="F140" s="12"/>
      <c r="G140" s="8">
        <f t="shared" si="0"/>
        <v>0</v>
      </c>
      <c r="H140" s="10"/>
    </row>
    <row r="141" spans="2:8" ht="13" x14ac:dyDescent="0.15">
      <c r="B141" s="9"/>
      <c r="C141" s="10"/>
      <c r="D141" s="10"/>
      <c r="E141" s="11"/>
      <c r="F141" s="12"/>
      <c r="G141" s="8">
        <f t="shared" si="0"/>
        <v>0</v>
      </c>
      <c r="H141" s="10"/>
    </row>
    <row r="142" spans="2:8" ht="13" x14ac:dyDescent="0.15">
      <c r="B142" s="9"/>
      <c r="C142" s="10"/>
      <c r="D142" s="10"/>
      <c r="E142" s="11"/>
      <c r="F142" s="12"/>
      <c r="G142" s="8">
        <f t="shared" si="0"/>
        <v>0</v>
      </c>
      <c r="H142" s="10"/>
    </row>
    <row r="143" spans="2:8" ht="13" x14ac:dyDescent="0.15">
      <c r="B143" s="9"/>
      <c r="C143" s="10"/>
      <c r="D143" s="10"/>
      <c r="E143" s="11"/>
      <c r="F143" s="12"/>
      <c r="G143" s="8">
        <f t="shared" si="0"/>
        <v>0</v>
      </c>
      <c r="H143" s="10"/>
    </row>
    <row r="144" spans="2:8" ht="13" x14ac:dyDescent="0.15">
      <c r="B144" s="9"/>
      <c r="C144" s="10"/>
      <c r="D144" s="10"/>
      <c r="E144" s="11"/>
      <c r="F144" s="12"/>
      <c r="G144" s="8">
        <f t="shared" si="0"/>
        <v>0</v>
      </c>
      <c r="H144" s="10"/>
    </row>
    <row r="145" spans="2:8" ht="13" x14ac:dyDescent="0.15">
      <c r="B145" s="9"/>
      <c r="C145" s="10"/>
      <c r="D145" s="10"/>
      <c r="E145" s="11"/>
      <c r="F145" s="12"/>
      <c r="G145" s="8">
        <f t="shared" si="0"/>
        <v>0</v>
      </c>
      <c r="H145" s="10"/>
    </row>
    <row r="146" spans="2:8" ht="13" x14ac:dyDescent="0.15">
      <c r="B146" s="9"/>
      <c r="C146" s="10"/>
      <c r="D146" s="10"/>
      <c r="E146" s="11"/>
      <c r="F146" s="12"/>
      <c r="G146" s="8">
        <f t="shared" si="0"/>
        <v>0</v>
      </c>
      <c r="H146" s="10"/>
    </row>
    <row r="147" spans="2:8" ht="13" x14ac:dyDescent="0.15">
      <c r="B147" s="9"/>
      <c r="C147" s="10"/>
      <c r="D147" s="10"/>
      <c r="E147" s="11"/>
      <c r="F147" s="12"/>
      <c r="G147" s="8">
        <f t="shared" si="0"/>
        <v>0</v>
      </c>
      <c r="H147" s="10"/>
    </row>
    <row r="148" spans="2:8" ht="13" x14ac:dyDescent="0.15">
      <c r="B148" s="9"/>
      <c r="C148" s="10"/>
      <c r="D148" s="10"/>
      <c r="E148" s="11"/>
      <c r="F148" s="12"/>
      <c r="G148" s="8">
        <f t="shared" si="0"/>
        <v>0</v>
      </c>
      <c r="H148" s="10"/>
    </row>
    <row r="149" spans="2:8" ht="13" x14ac:dyDescent="0.15">
      <c r="B149" s="9"/>
      <c r="C149" s="10"/>
      <c r="D149" s="10"/>
      <c r="E149" s="11"/>
      <c r="F149" s="12"/>
      <c r="G149" s="8">
        <f t="shared" si="0"/>
        <v>0</v>
      </c>
      <c r="H149" s="10"/>
    </row>
    <row r="150" spans="2:8" ht="13" x14ac:dyDescent="0.15">
      <c r="B150" s="9"/>
      <c r="C150" s="10"/>
      <c r="D150" s="10"/>
      <c r="E150" s="11"/>
      <c r="F150" s="12"/>
      <c r="G150" s="8">
        <f t="shared" si="0"/>
        <v>0</v>
      </c>
      <c r="H150" s="10"/>
    </row>
    <row r="151" spans="2:8" ht="13" x14ac:dyDescent="0.15">
      <c r="B151" s="9"/>
      <c r="C151" s="10"/>
      <c r="D151" s="10"/>
      <c r="E151" s="11"/>
      <c r="F151" s="12"/>
      <c r="G151" s="8">
        <f t="shared" si="0"/>
        <v>0</v>
      </c>
      <c r="H151" s="10"/>
    </row>
    <row r="152" spans="2:8" ht="13" x14ac:dyDescent="0.15">
      <c r="B152" s="9"/>
      <c r="C152" s="10"/>
      <c r="D152" s="10"/>
      <c r="E152" s="11"/>
      <c r="F152" s="12"/>
      <c r="G152" s="8">
        <f t="shared" si="0"/>
        <v>0</v>
      </c>
      <c r="H152" s="10"/>
    </row>
    <row r="153" spans="2:8" ht="13" x14ac:dyDescent="0.15">
      <c r="B153" s="9"/>
      <c r="C153" s="10"/>
      <c r="D153" s="10"/>
      <c r="E153" s="11"/>
      <c r="F153" s="12"/>
      <c r="G153" s="8">
        <f t="shared" si="0"/>
        <v>0</v>
      </c>
      <c r="H153" s="10"/>
    </row>
    <row r="154" spans="2:8" ht="13" x14ac:dyDescent="0.15">
      <c r="B154" s="9"/>
      <c r="C154" s="10"/>
      <c r="D154" s="10"/>
      <c r="E154" s="11"/>
      <c r="F154" s="12"/>
      <c r="G154" s="8">
        <f t="shared" si="0"/>
        <v>0</v>
      </c>
      <c r="H154" s="10"/>
    </row>
    <row r="155" spans="2:8" ht="13" x14ac:dyDescent="0.15">
      <c r="B155" s="9"/>
      <c r="C155" s="10"/>
      <c r="D155" s="10"/>
      <c r="E155" s="11"/>
      <c r="F155" s="12"/>
      <c r="G155" s="8">
        <f t="shared" si="0"/>
        <v>0</v>
      </c>
      <c r="H155" s="10"/>
    </row>
    <row r="156" spans="2:8" ht="13" x14ac:dyDescent="0.15">
      <c r="B156" s="9"/>
      <c r="C156" s="10"/>
      <c r="D156" s="10"/>
      <c r="E156" s="11"/>
      <c r="F156" s="12"/>
      <c r="G156" s="8">
        <f t="shared" si="0"/>
        <v>0</v>
      </c>
      <c r="H156" s="10"/>
    </row>
    <row r="157" spans="2:8" ht="13" x14ac:dyDescent="0.15">
      <c r="B157" s="9"/>
      <c r="C157" s="10"/>
      <c r="D157" s="10"/>
      <c r="E157" s="11"/>
      <c r="F157" s="12"/>
      <c r="G157" s="8">
        <f t="shared" si="0"/>
        <v>0</v>
      </c>
      <c r="H157" s="10"/>
    </row>
    <row r="158" spans="2:8" ht="13" x14ac:dyDescent="0.15">
      <c r="B158" s="9"/>
      <c r="C158" s="10"/>
      <c r="D158" s="10"/>
      <c r="E158" s="11"/>
      <c r="F158" s="12"/>
      <c r="G158" s="8">
        <f t="shared" si="0"/>
        <v>0</v>
      </c>
      <c r="H158" s="10"/>
    </row>
    <row r="159" spans="2:8" ht="13" x14ac:dyDescent="0.15">
      <c r="B159" s="9"/>
      <c r="C159" s="10"/>
      <c r="D159" s="10"/>
      <c r="E159" s="11"/>
      <c r="F159" s="12"/>
      <c r="G159" s="8">
        <f t="shared" si="0"/>
        <v>0</v>
      </c>
      <c r="H159" s="10"/>
    </row>
    <row r="160" spans="2:8" ht="13" x14ac:dyDescent="0.15">
      <c r="B160" s="9"/>
      <c r="C160" s="10"/>
      <c r="D160" s="10"/>
      <c r="E160" s="11"/>
      <c r="F160" s="12"/>
      <c r="G160" s="8">
        <f t="shared" si="0"/>
        <v>0</v>
      </c>
      <c r="H160" s="10"/>
    </row>
    <row r="161" spans="2:8" ht="13" x14ac:dyDescent="0.15">
      <c r="B161" s="9"/>
      <c r="C161" s="10"/>
      <c r="D161" s="10"/>
      <c r="E161" s="11"/>
      <c r="F161" s="12"/>
      <c r="G161" s="8">
        <f t="shared" si="0"/>
        <v>0</v>
      </c>
      <c r="H161" s="10"/>
    </row>
    <row r="162" spans="2:8" ht="13" x14ac:dyDescent="0.15">
      <c r="B162" s="9"/>
      <c r="C162" s="10"/>
      <c r="D162" s="10"/>
      <c r="E162" s="11"/>
      <c r="F162" s="12"/>
      <c r="G162" s="8">
        <f t="shared" si="0"/>
        <v>0</v>
      </c>
      <c r="H162" s="10"/>
    </row>
    <row r="163" spans="2:8" ht="13" x14ac:dyDescent="0.15">
      <c r="B163" s="9"/>
      <c r="C163" s="10"/>
      <c r="D163" s="10"/>
      <c r="E163" s="11"/>
      <c r="F163" s="12"/>
      <c r="G163" s="8">
        <f t="shared" si="0"/>
        <v>0</v>
      </c>
      <c r="H163" s="10"/>
    </row>
    <row r="164" spans="2:8" ht="13" x14ac:dyDescent="0.15">
      <c r="B164" s="9"/>
      <c r="C164" s="10"/>
      <c r="D164" s="10"/>
      <c r="E164" s="11"/>
      <c r="F164" s="12"/>
      <c r="G164" s="8">
        <f t="shared" si="0"/>
        <v>0</v>
      </c>
      <c r="H164" s="10"/>
    </row>
    <row r="165" spans="2:8" ht="13" x14ac:dyDescent="0.15">
      <c r="B165" s="9"/>
      <c r="C165" s="10" t="s">
        <v>371</v>
      </c>
      <c r="D165" s="10" t="s">
        <v>372</v>
      </c>
      <c r="E165" s="11">
        <v>9</v>
      </c>
      <c r="F165" s="12">
        <v>200000</v>
      </c>
      <c r="G165" s="8">
        <f t="shared" si="0"/>
        <v>1800000</v>
      </c>
      <c r="H165" s="10"/>
    </row>
    <row r="166" spans="2:8" ht="13" x14ac:dyDescent="0.15">
      <c r="B166" s="9"/>
      <c r="C166" s="10"/>
      <c r="D166" s="10" t="s">
        <v>373</v>
      </c>
      <c r="E166" s="11">
        <v>5</v>
      </c>
      <c r="F166" s="12">
        <v>175000</v>
      </c>
      <c r="G166" s="8">
        <f t="shared" si="0"/>
        <v>875000</v>
      </c>
      <c r="H166" s="10"/>
    </row>
    <row r="167" spans="2:8" ht="13" x14ac:dyDescent="0.15">
      <c r="B167" s="9"/>
      <c r="C167" s="10"/>
      <c r="D167" s="10" t="s">
        <v>374</v>
      </c>
      <c r="E167" s="11">
        <v>2</v>
      </c>
      <c r="F167" s="12">
        <v>165000</v>
      </c>
      <c r="G167" s="8">
        <f t="shared" si="0"/>
        <v>330000</v>
      </c>
      <c r="H167" s="10"/>
    </row>
    <row r="168" spans="2:8" ht="13" x14ac:dyDescent="0.15">
      <c r="B168" s="9"/>
      <c r="C168" s="10"/>
      <c r="D168" s="10" t="s">
        <v>375</v>
      </c>
      <c r="E168" s="11">
        <v>4</v>
      </c>
      <c r="F168" s="12">
        <v>325000</v>
      </c>
      <c r="G168" s="8">
        <f t="shared" si="0"/>
        <v>1300000</v>
      </c>
      <c r="H168" s="10"/>
    </row>
    <row r="169" spans="2:8" ht="13" x14ac:dyDescent="0.15">
      <c r="B169" s="9"/>
      <c r="C169" s="10"/>
      <c r="D169" s="10" t="s">
        <v>376</v>
      </c>
      <c r="E169" s="11">
        <v>1</v>
      </c>
      <c r="F169" s="12">
        <v>475000</v>
      </c>
      <c r="G169" s="8">
        <f t="shared" si="0"/>
        <v>475000</v>
      </c>
      <c r="H169" s="10"/>
    </row>
    <row r="170" spans="2:8" ht="13" x14ac:dyDescent="0.15">
      <c r="B170" s="9"/>
      <c r="C170" s="10"/>
      <c r="D170" s="10" t="s">
        <v>377</v>
      </c>
      <c r="E170" s="11">
        <v>1</v>
      </c>
      <c r="F170" s="12">
        <v>350000</v>
      </c>
      <c r="G170" s="8">
        <f t="shared" si="0"/>
        <v>350000</v>
      </c>
      <c r="H170" s="10"/>
    </row>
    <row r="171" spans="2:8" ht="13" x14ac:dyDescent="0.15">
      <c r="B171" s="13"/>
      <c r="C171" s="14"/>
      <c r="D171" s="14"/>
      <c r="E171" s="15"/>
      <c r="F171" s="16"/>
      <c r="G171" s="17"/>
      <c r="H171" s="14"/>
    </row>
    <row r="172" spans="2:8" ht="35.25" customHeight="1" x14ac:dyDescent="0.15">
      <c r="B172" s="26" t="s">
        <v>42</v>
      </c>
      <c r="C172" s="27"/>
      <c r="D172" s="27"/>
      <c r="E172" s="27"/>
      <c r="F172" s="28"/>
      <c r="G172" s="29">
        <f>SUM(G4:G170)</f>
        <v>79092239</v>
      </c>
      <c r="H172" s="28"/>
    </row>
  </sheetData>
  <mergeCells count="2">
    <mergeCell ref="B172:F172"/>
    <mergeCell ref="G172:H17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79"/>
  <sheetViews>
    <sheetView tabSelected="1" workbookViewId="0"/>
  </sheetViews>
  <sheetFormatPr baseColWidth="10" defaultColWidth="12.6640625" defaultRowHeight="15.75" customHeight="1" x14ac:dyDescent="0.15"/>
  <cols>
    <col min="3" max="3" width="25.6640625" customWidth="1"/>
    <col min="4" max="4" width="38.33203125" customWidth="1"/>
    <col min="6" max="6" width="25.5" customWidth="1"/>
    <col min="7" max="7" width="18.1640625" customWidth="1"/>
    <col min="8" max="8" width="35.6640625" customWidth="1"/>
  </cols>
  <sheetData>
    <row r="1" spans="1:8" ht="13" x14ac:dyDescent="0.15">
      <c r="A1" s="4" t="s">
        <v>7</v>
      </c>
    </row>
    <row r="3" spans="1:8" ht="42.75" customHeight="1" x14ac:dyDescent="0.1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 ht="13" x14ac:dyDescent="0.15">
      <c r="B4" s="2"/>
      <c r="C4" s="3"/>
      <c r="D4" s="3"/>
      <c r="E4" s="5"/>
      <c r="F4" s="6"/>
      <c r="G4" s="7"/>
      <c r="H4" s="3"/>
    </row>
    <row r="5" spans="1:8" ht="13" x14ac:dyDescent="0.15">
      <c r="B5" s="2">
        <v>46235</v>
      </c>
      <c r="C5" s="3" t="s">
        <v>45</v>
      </c>
      <c r="D5" s="3" t="s">
        <v>115</v>
      </c>
      <c r="E5" s="5">
        <v>41.56</v>
      </c>
      <c r="F5" s="6">
        <v>21150</v>
      </c>
      <c r="G5" s="8">
        <f t="shared" ref="G5:G8" si="0">E5*F5</f>
        <v>878994</v>
      </c>
      <c r="H5" s="3"/>
    </row>
    <row r="6" spans="1:8" ht="13" x14ac:dyDescent="0.15">
      <c r="B6" s="2">
        <v>46235</v>
      </c>
      <c r="C6" s="3" t="s">
        <v>33</v>
      </c>
      <c r="D6" s="3" t="s">
        <v>34</v>
      </c>
      <c r="E6" s="5">
        <v>1</v>
      </c>
      <c r="F6" s="6">
        <v>108000</v>
      </c>
      <c r="G6" s="8">
        <f t="shared" si="0"/>
        <v>108000</v>
      </c>
      <c r="H6" s="3"/>
    </row>
    <row r="7" spans="1:8" ht="13" x14ac:dyDescent="0.15">
      <c r="B7" s="2">
        <v>46239</v>
      </c>
      <c r="C7" s="3" t="s">
        <v>340</v>
      </c>
      <c r="D7" s="3" t="s">
        <v>341</v>
      </c>
      <c r="E7" s="5">
        <v>4</v>
      </c>
      <c r="F7" s="6">
        <v>268160</v>
      </c>
      <c r="G7" s="8">
        <f t="shared" si="0"/>
        <v>1072640</v>
      </c>
      <c r="H7" s="3"/>
    </row>
    <row r="8" spans="1:8" ht="13" x14ac:dyDescent="0.15">
      <c r="B8" s="2">
        <v>46238</v>
      </c>
      <c r="C8" s="3" t="s">
        <v>259</v>
      </c>
      <c r="D8" s="3" t="s">
        <v>43</v>
      </c>
      <c r="E8" s="5">
        <v>1</v>
      </c>
      <c r="F8" s="6">
        <v>2800000</v>
      </c>
      <c r="G8" s="8">
        <f t="shared" si="0"/>
        <v>2800000</v>
      </c>
      <c r="H8" s="3"/>
    </row>
    <row r="9" spans="1:8" ht="13" x14ac:dyDescent="0.15">
      <c r="B9" s="2">
        <v>46240</v>
      </c>
      <c r="C9" s="3" t="s">
        <v>345</v>
      </c>
      <c r="D9" s="3" t="s">
        <v>346</v>
      </c>
      <c r="E9" s="5">
        <v>1</v>
      </c>
      <c r="F9" s="6"/>
      <c r="G9" s="8"/>
      <c r="H9" s="3"/>
    </row>
    <row r="10" spans="1:8" ht="13" x14ac:dyDescent="0.15">
      <c r="B10" s="2"/>
      <c r="C10" s="3"/>
      <c r="D10" s="3" t="s">
        <v>349</v>
      </c>
      <c r="E10" s="5">
        <v>1</v>
      </c>
      <c r="F10" s="6"/>
      <c r="G10" s="8"/>
      <c r="H10" s="3"/>
    </row>
    <row r="11" spans="1:8" ht="13" x14ac:dyDescent="0.15">
      <c r="B11" s="2"/>
      <c r="C11" s="3"/>
      <c r="D11" s="3" t="s">
        <v>351</v>
      </c>
      <c r="E11" s="5">
        <v>1</v>
      </c>
      <c r="F11" s="6"/>
      <c r="G11" s="8">
        <v>26000000</v>
      </c>
      <c r="H11" s="3"/>
    </row>
    <row r="12" spans="1:8" ht="13" x14ac:dyDescent="0.15">
      <c r="B12" s="2">
        <v>46240</v>
      </c>
      <c r="C12" s="3" t="s">
        <v>259</v>
      </c>
      <c r="D12" s="3" t="s">
        <v>15</v>
      </c>
      <c r="E12" s="5">
        <v>1</v>
      </c>
      <c r="F12" s="6">
        <v>2600000</v>
      </c>
      <c r="G12" s="8">
        <f t="shared" ref="G12:G177" si="1">E12*F12</f>
        <v>2600000</v>
      </c>
      <c r="H12" s="3"/>
    </row>
    <row r="13" spans="1:8" ht="13" x14ac:dyDescent="0.15">
      <c r="B13" s="2">
        <v>46241</v>
      </c>
      <c r="C13" s="3" t="s">
        <v>354</v>
      </c>
      <c r="D13" s="3" t="s">
        <v>355</v>
      </c>
      <c r="E13" s="5">
        <v>8</v>
      </c>
      <c r="F13" s="6">
        <v>3000000</v>
      </c>
      <c r="G13" s="8">
        <f t="shared" si="1"/>
        <v>24000000</v>
      </c>
      <c r="H13" s="3"/>
    </row>
    <row r="14" spans="1:8" ht="13" x14ac:dyDescent="0.15">
      <c r="B14" s="2"/>
      <c r="C14" s="3"/>
      <c r="D14" s="3" t="s">
        <v>356</v>
      </c>
      <c r="E14" s="5">
        <v>2</v>
      </c>
      <c r="F14" s="6">
        <v>7000000</v>
      </c>
      <c r="G14" s="8">
        <f t="shared" si="1"/>
        <v>14000000</v>
      </c>
      <c r="H14" s="3"/>
    </row>
    <row r="15" spans="1:8" ht="13" x14ac:dyDescent="0.15">
      <c r="B15" s="2"/>
      <c r="C15" s="3"/>
      <c r="D15" s="3" t="s">
        <v>360</v>
      </c>
      <c r="E15" s="5">
        <v>4</v>
      </c>
      <c r="F15" s="6">
        <v>3000000</v>
      </c>
      <c r="G15" s="8">
        <f t="shared" si="1"/>
        <v>12000000</v>
      </c>
      <c r="H15" s="3"/>
    </row>
    <row r="16" spans="1:8" ht="13" x14ac:dyDescent="0.15">
      <c r="B16" s="2"/>
      <c r="C16" s="3"/>
      <c r="D16" s="3"/>
      <c r="E16" s="5"/>
      <c r="F16" s="6"/>
      <c r="G16" s="8">
        <f t="shared" si="1"/>
        <v>0</v>
      </c>
      <c r="H16" s="3"/>
    </row>
    <row r="17" spans="2:8" ht="13" x14ac:dyDescent="0.15">
      <c r="B17" s="2"/>
      <c r="C17" s="3"/>
      <c r="D17" s="3"/>
      <c r="E17" s="5"/>
      <c r="F17" s="6"/>
      <c r="G17" s="8">
        <f t="shared" si="1"/>
        <v>0</v>
      </c>
      <c r="H17" s="3"/>
    </row>
    <row r="18" spans="2:8" ht="13" x14ac:dyDescent="0.15">
      <c r="B18" s="2"/>
      <c r="C18" s="3"/>
      <c r="D18" s="3"/>
      <c r="E18" s="5"/>
      <c r="F18" s="6"/>
      <c r="G18" s="8">
        <f t="shared" si="1"/>
        <v>0</v>
      </c>
      <c r="H18" s="3"/>
    </row>
    <row r="19" spans="2:8" ht="13" x14ac:dyDescent="0.15">
      <c r="B19" s="2"/>
      <c r="C19" s="3"/>
      <c r="D19" s="3"/>
      <c r="E19" s="5"/>
      <c r="F19" s="6"/>
      <c r="G19" s="8">
        <f t="shared" si="1"/>
        <v>0</v>
      </c>
      <c r="H19" s="3"/>
    </row>
    <row r="20" spans="2:8" ht="13" x14ac:dyDescent="0.15">
      <c r="B20" s="2"/>
      <c r="C20" s="3"/>
      <c r="D20" s="3"/>
      <c r="E20" s="5"/>
      <c r="F20" s="6"/>
      <c r="G20" s="8">
        <f t="shared" si="1"/>
        <v>0</v>
      </c>
      <c r="H20" s="3"/>
    </row>
    <row r="21" spans="2:8" ht="13" x14ac:dyDescent="0.15">
      <c r="B21" s="2"/>
      <c r="C21" s="3"/>
      <c r="D21" s="3"/>
      <c r="E21" s="5"/>
      <c r="F21" s="6"/>
      <c r="G21" s="8">
        <f t="shared" si="1"/>
        <v>0</v>
      </c>
      <c r="H21" s="3"/>
    </row>
    <row r="22" spans="2:8" ht="13" x14ac:dyDescent="0.15">
      <c r="B22" s="2"/>
      <c r="C22" s="3"/>
      <c r="D22" s="3"/>
      <c r="E22" s="5"/>
      <c r="F22" s="6"/>
      <c r="G22" s="8">
        <f t="shared" si="1"/>
        <v>0</v>
      </c>
      <c r="H22" s="3"/>
    </row>
    <row r="23" spans="2:8" ht="13" x14ac:dyDescent="0.15">
      <c r="B23" s="2"/>
      <c r="C23" s="3"/>
      <c r="D23" s="3"/>
      <c r="E23" s="5"/>
      <c r="F23" s="6"/>
      <c r="G23" s="8">
        <f t="shared" si="1"/>
        <v>0</v>
      </c>
      <c r="H23" s="3"/>
    </row>
    <row r="24" spans="2:8" ht="13" x14ac:dyDescent="0.15">
      <c r="B24" s="2"/>
      <c r="C24" s="3"/>
      <c r="D24" s="3"/>
      <c r="E24" s="5"/>
      <c r="F24" s="6"/>
      <c r="G24" s="8">
        <f t="shared" si="1"/>
        <v>0</v>
      </c>
      <c r="H24" s="3"/>
    </row>
    <row r="25" spans="2:8" ht="13" x14ac:dyDescent="0.15">
      <c r="B25" s="2"/>
      <c r="C25" s="3"/>
      <c r="D25" s="3"/>
      <c r="E25" s="5"/>
      <c r="F25" s="6"/>
      <c r="G25" s="8">
        <f t="shared" si="1"/>
        <v>0</v>
      </c>
      <c r="H25" s="3"/>
    </row>
    <row r="26" spans="2:8" ht="13" x14ac:dyDescent="0.15">
      <c r="B26" s="2"/>
      <c r="C26" s="3"/>
      <c r="D26" s="3"/>
      <c r="E26" s="5"/>
      <c r="F26" s="6"/>
      <c r="G26" s="8">
        <f t="shared" si="1"/>
        <v>0</v>
      </c>
      <c r="H26" s="3"/>
    </row>
    <row r="27" spans="2:8" ht="13" x14ac:dyDescent="0.15">
      <c r="B27" s="2"/>
      <c r="C27" s="3"/>
      <c r="D27" s="3"/>
      <c r="E27" s="5"/>
      <c r="F27" s="6"/>
      <c r="G27" s="8">
        <f t="shared" si="1"/>
        <v>0</v>
      </c>
      <c r="H27" s="3"/>
    </row>
    <row r="28" spans="2:8" ht="13" x14ac:dyDescent="0.15">
      <c r="B28" s="2"/>
      <c r="C28" s="3"/>
      <c r="D28" s="3"/>
      <c r="E28" s="5"/>
      <c r="F28" s="6"/>
      <c r="G28" s="8">
        <f t="shared" si="1"/>
        <v>0</v>
      </c>
      <c r="H28" s="3"/>
    </row>
    <row r="29" spans="2:8" ht="13" x14ac:dyDescent="0.15">
      <c r="B29" s="2"/>
      <c r="C29" s="3"/>
      <c r="D29" s="3"/>
      <c r="E29" s="5"/>
      <c r="F29" s="6"/>
      <c r="G29" s="8">
        <f t="shared" si="1"/>
        <v>0</v>
      </c>
      <c r="H29" s="3"/>
    </row>
    <row r="30" spans="2:8" ht="13" x14ac:dyDescent="0.15">
      <c r="B30" s="2"/>
      <c r="C30" s="3"/>
      <c r="D30" s="3"/>
      <c r="E30" s="5"/>
      <c r="F30" s="6"/>
      <c r="G30" s="8">
        <f t="shared" si="1"/>
        <v>0</v>
      </c>
      <c r="H30" s="3"/>
    </row>
    <row r="31" spans="2:8" ht="13" x14ac:dyDescent="0.15">
      <c r="B31" s="2"/>
      <c r="C31" s="3"/>
      <c r="D31" s="3"/>
      <c r="E31" s="5"/>
      <c r="F31" s="6"/>
      <c r="G31" s="8">
        <f t="shared" si="1"/>
        <v>0</v>
      </c>
      <c r="H31" s="3"/>
    </row>
    <row r="32" spans="2:8" ht="13" x14ac:dyDescent="0.15">
      <c r="B32" s="2"/>
      <c r="C32" s="3"/>
      <c r="D32" s="3"/>
      <c r="E32" s="5"/>
      <c r="F32" s="6"/>
      <c r="G32" s="8">
        <f t="shared" si="1"/>
        <v>0</v>
      </c>
      <c r="H32" s="3"/>
    </row>
    <row r="33" spans="1:26" ht="13" x14ac:dyDescent="0.15">
      <c r="B33" s="2"/>
      <c r="C33" s="3"/>
      <c r="D33" s="3"/>
      <c r="E33" s="5"/>
      <c r="F33" s="6"/>
      <c r="G33" s="8">
        <f t="shared" si="1"/>
        <v>0</v>
      </c>
      <c r="H33" s="3"/>
    </row>
    <row r="34" spans="1:26" ht="13" x14ac:dyDescent="0.15">
      <c r="B34" s="2"/>
      <c r="C34" s="3"/>
      <c r="D34" s="3"/>
      <c r="E34" s="5"/>
      <c r="F34" s="6"/>
      <c r="G34" s="8">
        <f t="shared" si="1"/>
        <v>0</v>
      </c>
      <c r="H34" s="3"/>
    </row>
    <row r="35" spans="1:26" ht="13" x14ac:dyDescent="0.15">
      <c r="B35" s="2"/>
      <c r="C35" s="3"/>
      <c r="D35" s="3"/>
      <c r="E35" s="5"/>
      <c r="F35" s="6"/>
      <c r="G35" s="8">
        <f t="shared" si="1"/>
        <v>0</v>
      </c>
      <c r="H35" s="3"/>
    </row>
    <row r="36" spans="1:26" ht="13" x14ac:dyDescent="0.15">
      <c r="B36" s="2"/>
      <c r="C36" s="3"/>
      <c r="D36" s="3"/>
      <c r="E36" s="5"/>
      <c r="F36" s="6"/>
      <c r="G36" s="8">
        <f t="shared" si="1"/>
        <v>0</v>
      </c>
      <c r="H36" s="3"/>
    </row>
    <row r="37" spans="1:26" ht="13" x14ac:dyDescent="0.15">
      <c r="B37" s="2"/>
      <c r="C37" s="3"/>
      <c r="D37" s="3"/>
      <c r="E37" s="5"/>
      <c r="F37" s="6"/>
      <c r="G37" s="8">
        <f t="shared" si="1"/>
        <v>0</v>
      </c>
      <c r="H37" s="3"/>
    </row>
    <row r="38" spans="1:26" ht="13" x14ac:dyDescent="0.15">
      <c r="B38" s="2"/>
      <c r="C38" s="3"/>
      <c r="D38" s="3"/>
      <c r="E38" s="5"/>
      <c r="F38" s="6"/>
      <c r="G38" s="8">
        <f t="shared" si="1"/>
        <v>0</v>
      </c>
      <c r="H38" s="3"/>
    </row>
    <row r="39" spans="1:26" ht="13" x14ac:dyDescent="0.15">
      <c r="B39" s="2"/>
      <c r="C39" s="3"/>
      <c r="D39" s="3"/>
      <c r="E39" s="5"/>
      <c r="F39" s="6"/>
      <c r="G39" s="8">
        <f t="shared" si="1"/>
        <v>0</v>
      </c>
      <c r="H39" s="3"/>
    </row>
    <row r="40" spans="1:26" ht="13" x14ac:dyDescent="0.15">
      <c r="B40" s="2"/>
      <c r="C40" s="3"/>
      <c r="D40" s="3"/>
      <c r="E40" s="5"/>
      <c r="F40" s="6"/>
      <c r="G40" s="8">
        <f t="shared" si="1"/>
        <v>0</v>
      </c>
      <c r="H40" s="3"/>
    </row>
    <row r="41" spans="1:26" ht="13" x14ac:dyDescent="0.15">
      <c r="B41" s="2"/>
      <c r="C41" s="3"/>
      <c r="D41" s="3"/>
      <c r="E41" s="5"/>
      <c r="F41" s="6"/>
      <c r="G41" s="8">
        <f t="shared" si="1"/>
        <v>0</v>
      </c>
      <c r="H41" s="3"/>
    </row>
    <row r="42" spans="1:26" ht="13" x14ac:dyDescent="0.15">
      <c r="B42" s="2"/>
      <c r="C42" s="3"/>
      <c r="D42" s="3"/>
      <c r="E42" s="5"/>
      <c r="F42" s="6"/>
      <c r="G42" s="8">
        <f t="shared" si="1"/>
        <v>0</v>
      </c>
      <c r="H42" s="3"/>
    </row>
    <row r="43" spans="1:26" ht="13" x14ac:dyDescent="0.15">
      <c r="B43" s="2"/>
      <c r="C43" s="3"/>
      <c r="D43" s="3"/>
      <c r="E43" s="5"/>
      <c r="F43" s="6"/>
      <c r="G43" s="8">
        <f t="shared" si="1"/>
        <v>0</v>
      </c>
      <c r="H43" s="3"/>
    </row>
    <row r="44" spans="1:26" ht="13" x14ac:dyDescent="0.15">
      <c r="B44" s="2"/>
      <c r="C44" s="3"/>
      <c r="D44" s="3"/>
      <c r="E44" s="5"/>
      <c r="F44" s="6"/>
      <c r="G44" s="8">
        <f t="shared" si="1"/>
        <v>0</v>
      </c>
      <c r="H44" s="3"/>
    </row>
    <row r="45" spans="1:26" ht="13" x14ac:dyDescent="0.15">
      <c r="B45" s="2"/>
      <c r="C45" s="3"/>
      <c r="D45" s="3"/>
      <c r="E45" s="5"/>
      <c r="F45" s="6"/>
      <c r="G45" s="8">
        <f t="shared" si="1"/>
        <v>0</v>
      </c>
      <c r="H45" s="3"/>
    </row>
    <row r="46" spans="1:26" ht="13" x14ac:dyDescent="0.15">
      <c r="B46" s="2"/>
      <c r="C46" s="3"/>
      <c r="D46" s="3"/>
      <c r="E46" s="5"/>
      <c r="F46" s="6"/>
      <c r="G46" s="8">
        <f t="shared" si="1"/>
        <v>0</v>
      </c>
      <c r="H46" s="3"/>
    </row>
    <row r="47" spans="1:26" ht="13" x14ac:dyDescent="0.15">
      <c r="B47" s="2"/>
      <c r="C47" s="3"/>
      <c r="D47" s="3"/>
      <c r="E47" s="5"/>
      <c r="F47" s="6"/>
      <c r="G47" s="8">
        <f t="shared" si="1"/>
        <v>0</v>
      </c>
      <c r="H47" s="3"/>
    </row>
    <row r="48" spans="1:26" ht="13" x14ac:dyDescent="0.15">
      <c r="A48" s="19"/>
      <c r="B48" s="20"/>
      <c r="C48" s="21"/>
      <c r="D48" s="21"/>
      <c r="E48" s="22"/>
      <c r="F48" s="23"/>
      <c r="G48" s="18">
        <f t="shared" si="1"/>
        <v>0</v>
      </c>
      <c r="H48" s="21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" x14ac:dyDescent="0.15">
      <c r="A49" s="19"/>
      <c r="B49" s="25"/>
      <c r="C49" s="21"/>
      <c r="D49" s="21"/>
      <c r="E49" s="22"/>
      <c r="F49" s="23"/>
      <c r="G49" s="18">
        <f t="shared" si="1"/>
        <v>0</v>
      </c>
      <c r="H49" s="21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" x14ac:dyDescent="0.15">
      <c r="A50" s="19"/>
      <c r="B50" s="25"/>
      <c r="C50" s="21"/>
      <c r="D50" s="21"/>
      <c r="E50" s="22"/>
      <c r="F50" s="23"/>
      <c r="G50" s="18">
        <f t="shared" si="1"/>
        <v>0</v>
      </c>
      <c r="H50" s="21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" x14ac:dyDescent="0.15">
      <c r="B51" s="2"/>
      <c r="C51" s="3"/>
      <c r="D51" s="3"/>
      <c r="E51" s="5"/>
      <c r="F51" s="6"/>
      <c r="G51" s="8">
        <f t="shared" si="1"/>
        <v>0</v>
      </c>
      <c r="H51" s="3"/>
    </row>
    <row r="52" spans="1:26" ht="13" x14ac:dyDescent="0.15">
      <c r="B52" s="2"/>
      <c r="C52" s="3"/>
      <c r="D52" s="3"/>
      <c r="E52" s="5"/>
      <c r="F52" s="6"/>
      <c r="G52" s="8">
        <f t="shared" si="1"/>
        <v>0</v>
      </c>
      <c r="H52" s="3"/>
    </row>
    <row r="53" spans="1:26" ht="13" x14ac:dyDescent="0.15">
      <c r="B53" s="2"/>
      <c r="C53" s="3"/>
      <c r="D53" s="3"/>
      <c r="E53" s="5"/>
      <c r="F53" s="6"/>
      <c r="G53" s="8">
        <f t="shared" si="1"/>
        <v>0</v>
      </c>
      <c r="H53" s="3"/>
    </row>
    <row r="54" spans="1:26" ht="13" x14ac:dyDescent="0.15">
      <c r="B54" s="2"/>
      <c r="C54" s="3"/>
      <c r="D54" s="3"/>
      <c r="E54" s="5"/>
      <c r="F54" s="6"/>
      <c r="G54" s="8">
        <f t="shared" si="1"/>
        <v>0</v>
      </c>
      <c r="H54" s="3"/>
    </row>
    <row r="55" spans="1:26" ht="13" x14ac:dyDescent="0.15">
      <c r="B55" s="2"/>
      <c r="C55" s="3"/>
      <c r="D55" s="3"/>
      <c r="E55" s="5"/>
      <c r="F55" s="6"/>
      <c r="G55" s="8">
        <f t="shared" si="1"/>
        <v>0</v>
      </c>
      <c r="H55" s="3"/>
    </row>
    <row r="56" spans="1:26" ht="13" x14ac:dyDescent="0.15">
      <c r="B56" s="2"/>
      <c r="C56" s="3"/>
      <c r="D56" s="3"/>
      <c r="E56" s="5"/>
      <c r="F56" s="6"/>
      <c r="G56" s="8">
        <f t="shared" si="1"/>
        <v>0</v>
      </c>
      <c r="H56" s="3"/>
    </row>
    <row r="57" spans="1:26" ht="13" x14ac:dyDescent="0.15">
      <c r="B57" s="2"/>
      <c r="C57" s="3"/>
      <c r="D57" s="3"/>
      <c r="E57" s="5"/>
      <c r="F57" s="6"/>
      <c r="G57" s="8">
        <f t="shared" si="1"/>
        <v>0</v>
      </c>
      <c r="H57" s="3"/>
    </row>
    <row r="58" spans="1:26" ht="13" x14ac:dyDescent="0.15">
      <c r="B58" s="2"/>
      <c r="C58" s="3"/>
      <c r="D58" s="3"/>
      <c r="E58" s="5"/>
      <c r="F58" s="6"/>
      <c r="G58" s="8">
        <f t="shared" si="1"/>
        <v>0</v>
      </c>
      <c r="H58" s="3"/>
    </row>
    <row r="59" spans="1:26" ht="13" x14ac:dyDescent="0.15">
      <c r="B59" s="2"/>
      <c r="C59" s="3"/>
      <c r="D59" s="3"/>
      <c r="E59" s="5"/>
      <c r="F59" s="6"/>
      <c r="G59" s="8">
        <f t="shared" si="1"/>
        <v>0</v>
      </c>
      <c r="H59" s="3"/>
    </row>
    <row r="60" spans="1:26" ht="13" x14ac:dyDescent="0.15">
      <c r="B60" s="2"/>
      <c r="C60" s="3"/>
      <c r="D60" s="3"/>
      <c r="E60" s="5"/>
      <c r="F60" s="6"/>
      <c r="G60" s="8">
        <f t="shared" si="1"/>
        <v>0</v>
      </c>
      <c r="H60" s="3"/>
    </row>
    <row r="61" spans="1:26" ht="13" x14ac:dyDescent="0.15">
      <c r="B61" s="2"/>
      <c r="C61" s="3"/>
      <c r="D61" s="3"/>
      <c r="E61" s="5"/>
      <c r="F61" s="6"/>
      <c r="G61" s="8">
        <f t="shared" si="1"/>
        <v>0</v>
      </c>
      <c r="H61" s="3"/>
    </row>
    <row r="62" spans="1:26" ht="13" x14ac:dyDescent="0.15">
      <c r="B62" s="2"/>
      <c r="C62" s="3"/>
      <c r="D62" s="3"/>
      <c r="E62" s="5"/>
      <c r="F62" s="6"/>
      <c r="G62" s="8">
        <f t="shared" si="1"/>
        <v>0</v>
      </c>
      <c r="H62" s="3"/>
    </row>
    <row r="63" spans="1:26" ht="13" x14ac:dyDescent="0.15">
      <c r="B63" s="2"/>
      <c r="C63" s="3"/>
      <c r="D63" s="3"/>
      <c r="E63" s="5"/>
      <c r="F63" s="6"/>
      <c r="G63" s="8">
        <f t="shared" si="1"/>
        <v>0</v>
      </c>
      <c r="H63" s="3"/>
    </row>
    <row r="64" spans="1:26" ht="13" x14ac:dyDescent="0.15">
      <c r="B64" s="2"/>
      <c r="C64" s="3"/>
      <c r="D64" s="3"/>
      <c r="E64" s="5"/>
      <c r="F64" s="6"/>
      <c r="G64" s="8">
        <f t="shared" si="1"/>
        <v>0</v>
      </c>
      <c r="H64" s="3"/>
    </row>
    <row r="65" spans="2:8" ht="13" x14ac:dyDescent="0.15">
      <c r="B65" s="2"/>
      <c r="C65" s="3"/>
      <c r="D65" s="3"/>
      <c r="E65" s="5"/>
      <c r="F65" s="6"/>
      <c r="G65" s="8">
        <f t="shared" si="1"/>
        <v>0</v>
      </c>
      <c r="H65" s="3"/>
    </row>
    <row r="66" spans="2:8" ht="13" x14ac:dyDescent="0.15">
      <c r="B66" s="2"/>
      <c r="C66" s="3"/>
      <c r="D66" s="3"/>
      <c r="E66" s="5"/>
      <c r="F66" s="6"/>
      <c r="G66" s="8">
        <f t="shared" si="1"/>
        <v>0</v>
      </c>
      <c r="H66" s="3"/>
    </row>
    <row r="67" spans="2:8" ht="13" x14ac:dyDescent="0.15">
      <c r="B67" s="2"/>
      <c r="C67" s="3"/>
      <c r="D67" s="3"/>
      <c r="E67" s="5"/>
      <c r="F67" s="6"/>
      <c r="G67" s="8">
        <f t="shared" si="1"/>
        <v>0</v>
      </c>
      <c r="H67" s="3"/>
    </row>
    <row r="68" spans="2:8" ht="13" x14ac:dyDescent="0.15">
      <c r="B68" s="2"/>
      <c r="C68" s="3"/>
      <c r="D68" s="3"/>
      <c r="E68" s="5"/>
      <c r="F68" s="6"/>
      <c r="G68" s="8">
        <f t="shared" si="1"/>
        <v>0</v>
      </c>
      <c r="H68" s="3"/>
    </row>
    <row r="69" spans="2:8" ht="13" x14ac:dyDescent="0.15">
      <c r="B69" s="2"/>
      <c r="C69" s="3"/>
      <c r="D69" s="3"/>
      <c r="E69" s="5"/>
      <c r="F69" s="6"/>
      <c r="G69" s="8">
        <f t="shared" si="1"/>
        <v>0</v>
      </c>
      <c r="H69" s="3"/>
    </row>
    <row r="70" spans="2:8" ht="13" x14ac:dyDescent="0.15">
      <c r="B70" s="2"/>
      <c r="C70" s="3"/>
      <c r="D70" s="3"/>
      <c r="E70" s="5"/>
      <c r="F70" s="6"/>
      <c r="G70" s="8">
        <f t="shared" si="1"/>
        <v>0</v>
      </c>
      <c r="H70" s="3"/>
    </row>
    <row r="71" spans="2:8" ht="13" x14ac:dyDescent="0.15">
      <c r="B71" s="2"/>
      <c r="C71" s="3"/>
      <c r="D71" s="3"/>
      <c r="E71" s="5"/>
      <c r="F71" s="6"/>
      <c r="G71" s="8">
        <f t="shared" si="1"/>
        <v>0</v>
      </c>
      <c r="H71" s="3"/>
    </row>
    <row r="72" spans="2:8" ht="13" x14ac:dyDescent="0.15">
      <c r="B72" s="2"/>
      <c r="C72" s="3"/>
      <c r="D72" s="3"/>
      <c r="E72" s="5"/>
      <c r="F72" s="6"/>
      <c r="G72" s="8">
        <f t="shared" si="1"/>
        <v>0</v>
      </c>
      <c r="H72" s="3"/>
    </row>
    <row r="73" spans="2:8" ht="13" x14ac:dyDescent="0.15">
      <c r="B73" s="2"/>
      <c r="C73" s="3"/>
      <c r="D73" s="3"/>
      <c r="E73" s="5"/>
      <c r="F73" s="6"/>
      <c r="G73" s="8">
        <f t="shared" si="1"/>
        <v>0</v>
      </c>
      <c r="H73" s="3"/>
    </row>
    <row r="74" spans="2:8" ht="13" x14ac:dyDescent="0.15">
      <c r="B74" s="2"/>
      <c r="C74" s="3"/>
      <c r="D74" s="3"/>
      <c r="E74" s="5"/>
      <c r="F74" s="6"/>
      <c r="G74" s="8">
        <f t="shared" si="1"/>
        <v>0</v>
      </c>
      <c r="H74" s="3"/>
    </row>
    <row r="75" spans="2:8" ht="13" x14ac:dyDescent="0.15">
      <c r="B75" s="2"/>
      <c r="C75" s="3"/>
      <c r="D75" s="3"/>
      <c r="E75" s="5"/>
      <c r="F75" s="6"/>
      <c r="G75" s="8">
        <f t="shared" si="1"/>
        <v>0</v>
      </c>
      <c r="H75" s="3"/>
    </row>
    <row r="76" spans="2:8" ht="13" x14ac:dyDescent="0.15">
      <c r="B76" s="2"/>
      <c r="C76" s="3"/>
      <c r="D76" s="3"/>
      <c r="E76" s="5"/>
      <c r="F76" s="6"/>
      <c r="G76" s="8">
        <f t="shared" si="1"/>
        <v>0</v>
      </c>
      <c r="H76" s="3"/>
    </row>
    <row r="77" spans="2:8" ht="13" x14ac:dyDescent="0.15">
      <c r="B77" s="2"/>
      <c r="C77" s="3"/>
      <c r="D77" s="3"/>
      <c r="E77" s="5"/>
      <c r="F77" s="6"/>
      <c r="G77" s="8">
        <f t="shared" si="1"/>
        <v>0</v>
      </c>
      <c r="H77" s="3"/>
    </row>
    <row r="78" spans="2:8" ht="13" x14ac:dyDescent="0.15">
      <c r="B78" s="2"/>
      <c r="C78" s="3"/>
      <c r="D78" s="3"/>
      <c r="E78" s="5"/>
      <c r="F78" s="6"/>
      <c r="G78" s="8">
        <f t="shared" si="1"/>
        <v>0</v>
      </c>
      <c r="H78" s="3"/>
    </row>
    <row r="79" spans="2:8" ht="13" x14ac:dyDescent="0.15">
      <c r="B79" s="2"/>
      <c r="C79" s="3"/>
      <c r="D79" s="3"/>
      <c r="E79" s="5"/>
      <c r="F79" s="6"/>
      <c r="G79" s="8">
        <f t="shared" si="1"/>
        <v>0</v>
      </c>
      <c r="H79" s="3"/>
    </row>
    <row r="80" spans="2:8" ht="13" x14ac:dyDescent="0.15">
      <c r="B80" s="2"/>
      <c r="C80" s="3"/>
      <c r="D80" s="3"/>
      <c r="E80" s="5"/>
      <c r="F80" s="6"/>
      <c r="G80" s="8">
        <f t="shared" si="1"/>
        <v>0</v>
      </c>
      <c r="H80" s="3"/>
    </row>
    <row r="81" spans="2:8" ht="13" x14ac:dyDescent="0.15">
      <c r="B81" s="2"/>
      <c r="C81" s="3"/>
      <c r="D81" s="3"/>
      <c r="E81" s="5"/>
      <c r="F81" s="6"/>
      <c r="G81" s="8">
        <f t="shared" si="1"/>
        <v>0</v>
      </c>
      <c r="H81" s="3"/>
    </row>
    <row r="82" spans="2:8" ht="13" x14ac:dyDescent="0.15">
      <c r="B82" s="2"/>
      <c r="C82" s="3"/>
      <c r="D82" s="3"/>
      <c r="E82" s="5"/>
      <c r="F82" s="6"/>
      <c r="G82" s="8">
        <f t="shared" si="1"/>
        <v>0</v>
      </c>
      <c r="H82" s="3"/>
    </row>
    <row r="83" spans="2:8" ht="13" x14ac:dyDescent="0.15">
      <c r="B83" s="2"/>
      <c r="C83" s="3"/>
      <c r="D83" s="3"/>
      <c r="E83" s="5"/>
      <c r="F83" s="6"/>
      <c r="G83" s="8">
        <f t="shared" si="1"/>
        <v>0</v>
      </c>
      <c r="H83" s="3"/>
    </row>
    <row r="84" spans="2:8" ht="13" x14ac:dyDescent="0.15">
      <c r="B84" s="2"/>
      <c r="C84" s="3"/>
      <c r="D84" s="3"/>
      <c r="E84" s="5"/>
      <c r="F84" s="6"/>
      <c r="G84" s="8">
        <f t="shared" si="1"/>
        <v>0</v>
      </c>
      <c r="H84" s="3"/>
    </row>
    <row r="85" spans="2:8" ht="13" x14ac:dyDescent="0.15">
      <c r="B85" s="2"/>
      <c r="C85" s="3"/>
      <c r="D85" s="3"/>
      <c r="E85" s="5"/>
      <c r="F85" s="6"/>
      <c r="G85" s="8">
        <f t="shared" si="1"/>
        <v>0</v>
      </c>
      <c r="H85" s="3"/>
    </row>
    <row r="86" spans="2:8" ht="13" x14ac:dyDescent="0.15">
      <c r="B86" s="2"/>
      <c r="C86" s="3"/>
      <c r="D86" s="3"/>
      <c r="E86" s="5"/>
      <c r="F86" s="6"/>
      <c r="G86" s="8">
        <f t="shared" si="1"/>
        <v>0</v>
      </c>
      <c r="H86" s="3"/>
    </row>
    <row r="87" spans="2:8" ht="13" x14ac:dyDescent="0.15">
      <c r="B87" s="2"/>
      <c r="C87" s="3"/>
      <c r="D87" s="3"/>
      <c r="E87" s="5"/>
      <c r="F87" s="6"/>
      <c r="G87" s="8">
        <f t="shared" si="1"/>
        <v>0</v>
      </c>
      <c r="H87" s="3"/>
    </row>
    <row r="88" spans="2:8" ht="13" x14ac:dyDescent="0.15">
      <c r="B88" s="2"/>
      <c r="C88" s="3"/>
      <c r="D88" s="3"/>
      <c r="E88" s="5"/>
      <c r="F88" s="6"/>
      <c r="G88" s="8">
        <f t="shared" si="1"/>
        <v>0</v>
      </c>
      <c r="H88" s="3"/>
    </row>
    <row r="89" spans="2:8" ht="13" x14ac:dyDescent="0.15">
      <c r="B89" s="2"/>
      <c r="C89" s="3"/>
      <c r="D89" s="3"/>
      <c r="E89" s="5"/>
      <c r="F89" s="6"/>
      <c r="G89" s="8">
        <f t="shared" si="1"/>
        <v>0</v>
      </c>
      <c r="H89" s="3"/>
    </row>
    <row r="90" spans="2:8" ht="13" x14ac:dyDescent="0.15">
      <c r="B90" s="2"/>
      <c r="C90" s="3"/>
      <c r="D90" s="3"/>
      <c r="E90" s="5"/>
      <c r="F90" s="6"/>
      <c r="G90" s="8">
        <f t="shared" si="1"/>
        <v>0</v>
      </c>
      <c r="H90" s="3"/>
    </row>
    <row r="91" spans="2:8" ht="13" x14ac:dyDescent="0.15">
      <c r="B91" s="2"/>
      <c r="C91" s="3"/>
      <c r="D91" s="3"/>
      <c r="E91" s="5"/>
      <c r="F91" s="6"/>
      <c r="G91" s="8">
        <f t="shared" si="1"/>
        <v>0</v>
      </c>
      <c r="H91" s="3"/>
    </row>
    <row r="92" spans="2:8" ht="13" x14ac:dyDescent="0.15">
      <c r="B92" s="2"/>
      <c r="C92" s="3"/>
      <c r="D92" s="3"/>
      <c r="E92" s="5"/>
      <c r="F92" s="6"/>
      <c r="G92" s="8">
        <f t="shared" si="1"/>
        <v>0</v>
      </c>
      <c r="H92" s="3"/>
    </row>
    <row r="93" spans="2:8" ht="13" x14ac:dyDescent="0.15">
      <c r="B93" s="2"/>
      <c r="C93" s="3"/>
      <c r="D93" s="3"/>
      <c r="E93" s="5"/>
      <c r="F93" s="6"/>
      <c r="G93" s="8">
        <f t="shared" si="1"/>
        <v>0</v>
      </c>
      <c r="H93" s="3"/>
    </row>
    <row r="94" spans="2:8" ht="13" x14ac:dyDescent="0.15">
      <c r="B94" s="2"/>
      <c r="C94" s="3"/>
      <c r="D94" s="3"/>
      <c r="E94" s="5"/>
      <c r="F94" s="6"/>
      <c r="G94" s="8">
        <f t="shared" si="1"/>
        <v>0</v>
      </c>
      <c r="H94" s="3"/>
    </row>
    <row r="95" spans="2:8" ht="13" x14ac:dyDescent="0.15">
      <c r="B95" s="2"/>
      <c r="C95" s="3"/>
      <c r="D95" s="3"/>
      <c r="E95" s="5"/>
      <c r="F95" s="6"/>
      <c r="G95" s="8">
        <f t="shared" si="1"/>
        <v>0</v>
      </c>
      <c r="H95" s="3"/>
    </row>
    <row r="96" spans="2:8" ht="13" x14ac:dyDescent="0.15">
      <c r="B96" s="2"/>
      <c r="C96" s="3"/>
      <c r="D96" s="3"/>
      <c r="E96" s="5"/>
      <c r="F96" s="6"/>
      <c r="G96" s="8">
        <f t="shared" si="1"/>
        <v>0</v>
      </c>
      <c r="H96" s="3"/>
    </row>
    <row r="97" spans="2:8" ht="13" x14ac:dyDescent="0.15">
      <c r="B97" s="2"/>
      <c r="C97" s="3"/>
      <c r="D97" s="3"/>
      <c r="E97" s="5"/>
      <c r="F97" s="6"/>
      <c r="G97" s="8">
        <f t="shared" si="1"/>
        <v>0</v>
      </c>
      <c r="H97" s="3"/>
    </row>
    <row r="98" spans="2:8" ht="13" x14ac:dyDescent="0.15">
      <c r="B98" s="2"/>
      <c r="C98" s="3"/>
      <c r="D98" s="3"/>
      <c r="E98" s="5"/>
      <c r="F98" s="6"/>
      <c r="G98" s="8">
        <f t="shared" si="1"/>
        <v>0</v>
      </c>
      <c r="H98" s="3"/>
    </row>
    <row r="99" spans="2:8" ht="13" x14ac:dyDescent="0.15">
      <c r="B99" s="2"/>
      <c r="C99" s="3"/>
      <c r="D99" s="3"/>
      <c r="E99" s="5"/>
      <c r="F99" s="6"/>
      <c r="G99" s="8">
        <f t="shared" si="1"/>
        <v>0</v>
      </c>
      <c r="H99" s="3"/>
    </row>
    <row r="100" spans="2:8" ht="13" x14ac:dyDescent="0.15">
      <c r="B100" s="2"/>
      <c r="C100" s="3"/>
      <c r="D100" s="3"/>
      <c r="E100" s="5"/>
      <c r="F100" s="6"/>
      <c r="G100" s="8">
        <f t="shared" si="1"/>
        <v>0</v>
      </c>
      <c r="H100" s="3"/>
    </row>
    <row r="101" spans="2:8" ht="13" x14ac:dyDescent="0.15">
      <c r="B101" s="2"/>
      <c r="C101" s="3"/>
      <c r="D101" s="3"/>
      <c r="E101" s="5"/>
      <c r="F101" s="6"/>
      <c r="G101" s="8">
        <f t="shared" si="1"/>
        <v>0</v>
      </c>
      <c r="H101" s="3"/>
    </row>
    <row r="102" spans="2:8" ht="13" x14ac:dyDescent="0.15">
      <c r="B102" s="2"/>
      <c r="C102" s="3"/>
      <c r="D102" s="3"/>
      <c r="E102" s="5"/>
      <c r="F102" s="6"/>
      <c r="G102" s="8">
        <f t="shared" si="1"/>
        <v>0</v>
      </c>
      <c r="H102" s="3"/>
    </row>
    <row r="103" spans="2:8" ht="13" x14ac:dyDescent="0.15">
      <c r="B103" s="2"/>
      <c r="C103" s="3"/>
      <c r="D103" s="3"/>
      <c r="E103" s="5"/>
      <c r="F103" s="6"/>
      <c r="G103" s="8">
        <f t="shared" si="1"/>
        <v>0</v>
      </c>
      <c r="H103" s="3"/>
    </row>
    <row r="104" spans="2:8" ht="13" x14ac:dyDescent="0.15">
      <c r="B104" s="2"/>
      <c r="C104" s="3"/>
      <c r="D104" s="3"/>
      <c r="E104" s="5"/>
      <c r="F104" s="6"/>
      <c r="G104" s="8">
        <f t="shared" si="1"/>
        <v>0</v>
      </c>
      <c r="H104" s="3"/>
    </row>
    <row r="105" spans="2:8" ht="13" x14ac:dyDescent="0.15">
      <c r="B105" s="2"/>
      <c r="C105" s="3"/>
      <c r="D105" s="3"/>
      <c r="E105" s="5"/>
      <c r="F105" s="6"/>
      <c r="G105" s="8">
        <f t="shared" si="1"/>
        <v>0</v>
      </c>
      <c r="H105" s="3"/>
    </row>
    <row r="106" spans="2:8" ht="13" x14ac:dyDescent="0.15">
      <c r="B106" s="2"/>
      <c r="C106" s="3"/>
      <c r="D106" s="3"/>
      <c r="E106" s="5"/>
      <c r="F106" s="6"/>
      <c r="G106" s="8">
        <f t="shared" si="1"/>
        <v>0</v>
      </c>
      <c r="H106" s="3"/>
    </row>
    <row r="107" spans="2:8" ht="13" x14ac:dyDescent="0.15">
      <c r="B107" s="2"/>
      <c r="C107" s="3"/>
      <c r="D107" s="3"/>
      <c r="E107" s="5"/>
      <c r="F107" s="6"/>
      <c r="G107" s="8">
        <f t="shared" si="1"/>
        <v>0</v>
      </c>
      <c r="H107" s="3"/>
    </row>
    <row r="108" spans="2:8" ht="13" x14ac:dyDescent="0.15">
      <c r="B108" s="2"/>
      <c r="C108" s="3"/>
      <c r="D108" s="3"/>
      <c r="E108" s="5"/>
      <c r="F108" s="6"/>
      <c r="G108" s="8">
        <f t="shared" si="1"/>
        <v>0</v>
      </c>
      <c r="H108" s="3"/>
    </row>
    <row r="109" spans="2:8" ht="13" x14ac:dyDescent="0.15">
      <c r="B109" s="2"/>
      <c r="C109" s="3"/>
      <c r="D109" s="3"/>
      <c r="E109" s="5"/>
      <c r="F109" s="6"/>
      <c r="G109" s="8">
        <f t="shared" si="1"/>
        <v>0</v>
      </c>
      <c r="H109" s="3"/>
    </row>
    <row r="110" spans="2:8" ht="13" x14ac:dyDescent="0.15">
      <c r="B110" s="2"/>
      <c r="C110" s="3"/>
      <c r="D110" s="3"/>
      <c r="E110" s="5"/>
      <c r="F110" s="6"/>
      <c r="G110" s="8">
        <f t="shared" si="1"/>
        <v>0</v>
      </c>
      <c r="H110" s="3"/>
    </row>
    <row r="111" spans="2:8" ht="13" x14ac:dyDescent="0.15">
      <c r="B111" s="2"/>
      <c r="C111" s="3"/>
      <c r="D111" s="3"/>
      <c r="E111" s="5"/>
      <c r="F111" s="6"/>
      <c r="G111" s="8">
        <f t="shared" si="1"/>
        <v>0</v>
      </c>
      <c r="H111" s="3"/>
    </row>
    <row r="112" spans="2:8" ht="13" x14ac:dyDescent="0.15">
      <c r="B112" s="2"/>
      <c r="C112" s="3"/>
      <c r="D112" s="3"/>
      <c r="E112" s="5"/>
      <c r="F112" s="6"/>
      <c r="G112" s="8">
        <f t="shared" si="1"/>
        <v>0</v>
      </c>
      <c r="H112" s="3"/>
    </row>
    <row r="113" spans="2:8" ht="13" x14ac:dyDescent="0.15">
      <c r="B113" s="2"/>
      <c r="C113" s="3"/>
      <c r="D113" s="3"/>
      <c r="E113" s="5"/>
      <c r="F113" s="6"/>
      <c r="G113" s="8">
        <f t="shared" si="1"/>
        <v>0</v>
      </c>
      <c r="H113" s="3"/>
    </row>
    <row r="114" spans="2:8" ht="13" x14ac:dyDescent="0.15">
      <c r="B114" s="2"/>
      <c r="C114" s="3"/>
      <c r="D114" s="3"/>
      <c r="E114" s="5"/>
      <c r="F114" s="6"/>
      <c r="G114" s="8">
        <f t="shared" si="1"/>
        <v>0</v>
      </c>
      <c r="H114" s="3"/>
    </row>
    <row r="115" spans="2:8" ht="13" x14ac:dyDescent="0.15">
      <c r="B115" s="2"/>
      <c r="C115" s="3"/>
      <c r="D115" s="3"/>
      <c r="E115" s="5"/>
      <c r="F115" s="6"/>
      <c r="G115" s="8">
        <f t="shared" si="1"/>
        <v>0</v>
      </c>
      <c r="H115" s="3"/>
    </row>
    <row r="116" spans="2:8" ht="13" x14ac:dyDescent="0.15">
      <c r="B116" s="2"/>
      <c r="C116" s="3"/>
      <c r="D116" s="3"/>
      <c r="E116" s="5"/>
      <c r="F116" s="6"/>
      <c r="G116" s="8">
        <f t="shared" si="1"/>
        <v>0</v>
      </c>
      <c r="H116" s="3"/>
    </row>
    <row r="117" spans="2:8" ht="13" x14ac:dyDescent="0.15">
      <c r="B117" s="2"/>
      <c r="C117" s="3"/>
      <c r="D117" s="3"/>
      <c r="E117" s="5"/>
      <c r="F117" s="6"/>
      <c r="G117" s="8">
        <f t="shared" si="1"/>
        <v>0</v>
      </c>
      <c r="H117" s="3"/>
    </row>
    <row r="118" spans="2:8" ht="13" x14ac:dyDescent="0.15">
      <c r="B118" s="2"/>
      <c r="C118" s="3"/>
      <c r="D118" s="3"/>
      <c r="E118" s="5"/>
      <c r="F118" s="6"/>
      <c r="G118" s="8">
        <f t="shared" si="1"/>
        <v>0</v>
      </c>
      <c r="H118" s="3"/>
    </row>
    <row r="119" spans="2:8" ht="13" x14ac:dyDescent="0.15">
      <c r="B119" s="2"/>
      <c r="C119" s="3"/>
      <c r="D119" s="3"/>
      <c r="E119" s="5"/>
      <c r="F119" s="6"/>
      <c r="G119" s="8">
        <f t="shared" si="1"/>
        <v>0</v>
      </c>
      <c r="H119" s="3"/>
    </row>
    <row r="120" spans="2:8" ht="13" x14ac:dyDescent="0.15">
      <c r="B120" s="2"/>
      <c r="C120" s="3"/>
      <c r="D120" s="3"/>
      <c r="E120" s="5"/>
      <c r="F120" s="6"/>
      <c r="G120" s="8">
        <f t="shared" si="1"/>
        <v>0</v>
      </c>
      <c r="H120" s="3"/>
    </row>
    <row r="121" spans="2:8" ht="13" x14ac:dyDescent="0.15">
      <c r="B121" s="2"/>
      <c r="C121" s="3"/>
      <c r="D121" s="3"/>
      <c r="E121" s="5"/>
      <c r="F121" s="6"/>
      <c r="G121" s="8">
        <f t="shared" si="1"/>
        <v>0</v>
      </c>
      <c r="H121" s="3"/>
    </row>
    <row r="122" spans="2:8" ht="13" x14ac:dyDescent="0.15">
      <c r="B122" s="2"/>
      <c r="C122" s="3"/>
      <c r="D122" s="3"/>
      <c r="E122" s="5"/>
      <c r="F122" s="6"/>
      <c r="G122" s="8">
        <f t="shared" si="1"/>
        <v>0</v>
      </c>
      <c r="H122" s="3"/>
    </row>
    <row r="123" spans="2:8" ht="13" x14ac:dyDescent="0.15">
      <c r="B123" s="2"/>
      <c r="C123" s="3"/>
      <c r="D123" s="3"/>
      <c r="E123" s="5"/>
      <c r="F123" s="6"/>
      <c r="G123" s="8">
        <f t="shared" si="1"/>
        <v>0</v>
      </c>
      <c r="H123" s="3"/>
    </row>
    <row r="124" spans="2:8" ht="13" x14ac:dyDescent="0.15">
      <c r="B124" s="2"/>
      <c r="C124" s="3"/>
      <c r="D124" s="3"/>
      <c r="E124" s="5"/>
      <c r="F124" s="6"/>
      <c r="G124" s="8">
        <f t="shared" si="1"/>
        <v>0</v>
      </c>
      <c r="H124" s="3"/>
    </row>
    <row r="125" spans="2:8" ht="13" x14ac:dyDescent="0.15">
      <c r="B125" s="2"/>
      <c r="C125" s="3"/>
      <c r="D125" s="3"/>
      <c r="E125" s="5"/>
      <c r="F125" s="6"/>
      <c r="G125" s="8">
        <f t="shared" si="1"/>
        <v>0</v>
      </c>
      <c r="H125" s="3"/>
    </row>
    <row r="126" spans="2:8" ht="13" x14ac:dyDescent="0.15">
      <c r="B126" s="2"/>
      <c r="C126" s="3"/>
      <c r="D126" s="3"/>
      <c r="E126" s="5"/>
      <c r="F126" s="6"/>
      <c r="G126" s="8">
        <f t="shared" si="1"/>
        <v>0</v>
      </c>
      <c r="H126" s="3"/>
    </row>
    <row r="127" spans="2:8" ht="13" x14ac:dyDescent="0.15">
      <c r="B127" s="2"/>
      <c r="C127" s="3"/>
      <c r="D127" s="3"/>
      <c r="E127" s="5"/>
      <c r="F127" s="6"/>
      <c r="G127" s="8">
        <f t="shared" si="1"/>
        <v>0</v>
      </c>
      <c r="H127" s="3"/>
    </row>
    <row r="128" spans="2:8" ht="13" x14ac:dyDescent="0.15">
      <c r="B128" s="2"/>
      <c r="C128" s="3"/>
      <c r="D128" s="3"/>
      <c r="E128" s="5"/>
      <c r="F128" s="6"/>
      <c r="G128" s="8">
        <f t="shared" si="1"/>
        <v>0</v>
      </c>
      <c r="H128" s="3"/>
    </row>
    <row r="129" spans="2:8" ht="13" x14ac:dyDescent="0.15">
      <c r="B129" s="2"/>
      <c r="C129" s="3"/>
      <c r="D129" s="3"/>
      <c r="E129" s="5"/>
      <c r="F129" s="6"/>
      <c r="G129" s="8">
        <f t="shared" si="1"/>
        <v>0</v>
      </c>
      <c r="H129" s="3"/>
    </row>
    <row r="130" spans="2:8" ht="13" x14ac:dyDescent="0.15">
      <c r="B130" s="2"/>
      <c r="C130" s="3"/>
      <c r="D130" s="3"/>
      <c r="E130" s="5"/>
      <c r="F130" s="6"/>
      <c r="G130" s="8">
        <f t="shared" si="1"/>
        <v>0</v>
      </c>
      <c r="H130" s="3"/>
    </row>
    <row r="131" spans="2:8" ht="13" x14ac:dyDescent="0.15">
      <c r="B131" s="2"/>
      <c r="C131" s="3"/>
      <c r="D131" s="3"/>
      <c r="E131" s="5"/>
      <c r="F131" s="6"/>
      <c r="G131" s="8">
        <f t="shared" si="1"/>
        <v>0</v>
      </c>
      <c r="H131" s="3"/>
    </row>
    <row r="132" spans="2:8" ht="13" x14ac:dyDescent="0.15">
      <c r="B132" s="2"/>
      <c r="C132" s="3"/>
      <c r="D132" s="3"/>
      <c r="E132" s="5"/>
      <c r="F132" s="6"/>
      <c r="G132" s="8">
        <f t="shared" si="1"/>
        <v>0</v>
      </c>
      <c r="H132" s="3"/>
    </row>
    <row r="133" spans="2:8" ht="13" x14ac:dyDescent="0.15">
      <c r="B133" s="2"/>
      <c r="C133" s="3"/>
      <c r="D133" s="3"/>
      <c r="E133" s="5"/>
      <c r="F133" s="6"/>
      <c r="G133" s="8">
        <f t="shared" si="1"/>
        <v>0</v>
      </c>
      <c r="H133" s="3"/>
    </row>
    <row r="134" spans="2:8" ht="13" x14ac:dyDescent="0.15">
      <c r="B134" s="2"/>
      <c r="C134" s="3"/>
      <c r="D134" s="3"/>
      <c r="E134" s="5"/>
      <c r="F134" s="6"/>
      <c r="G134" s="8">
        <f t="shared" si="1"/>
        <v>0</v>
      </c>
      <c r="H134" s="3"/>
    </row>
    <row r="135" spans="2:8" ht="13" x14ac:dyDescent="0.15">
      <c r="B135" s="9"/>
      <c r="C135" s="10"/>
      <c r="D135" s="10"/>
      <c r="E135" s="11"/>
      <c r="F135" s="12"/>
      <c r="G135" s="8">
        <f t="shared" si="1"/>
        <v>0</v>
      </c>
      <c r="H135" s="10"/>
    </row>
    <row r="136" spans="2:8" ht="13" x14ac:dyDescent="0.15">
      <c r="B136" s="9"/>
      <c r="C136" s="10"/>
      <c r="D136" s="10"/>
      <c r="E136" s="11"/>
      <c r="F136" s="12"/>
      <c r="G136" s="8">
        <f t="shared" si="1"/>
        <v>0</v>
      </c>
      <c r="H136" s="10"/>
    </row>
    <row r="137" spans="2:8" ht="13" x14ac:dyDescent="0.15">
      <c r="B137" s="9"/>
      <c r="C137" s="10"/>
      <c r="D137" s="10"/>
      <c r="E137" s="11"/>
      <c r="F137" s="12"/>
      <c r="G137" s="8">
        <f t="shared" si="1"/>
        <v>0</v>
      </c>
      <c r="H137" s="10"/>
    </row>
    <row r="138" spans="2:8" ht="13" x14ac:dyDescent="0.15">
      <c r="B138" s="9"/>
      <c r="C138" s="10"/>
      <c r="D138" s="10"/>
      <c r="E138" s="11"/>
      <c r="F138" s="12"/>
      <c r="G138" s="8">
        <f t="shared" si="1"/>
        <v>0</v>
      </c>
      <c r="H138" s="10"/>
    </row>
    <row r="139" spans="2:8" ht="13" x14ac:dyDescent="0.15">
      <c r="B139" s="9"/>
      <c r="C139" s="10"/>
      <c r="D139" s="10"/>
      <c r="E139" s="11"/>
      <c r="F139" s="12"/>
      <c r="G139" s="8">
        <f t="shared" si="1"/>
        <v>0</v>
      </c>
      <c r="H139" s="10"/>
    </row>
    <row r="140" spans="2:8" ht="13" x14ac:dyDescent="0.15">
      <c r="B140" s="9"/>
      <c r="C140" s="10"/>
      <c r="D140" s="10"/>
      <c r="E140" s="11"/>
      <c r="F140" s="12"/>
      <c r="G140" s="8">
        <f t="shared" si="1"/>
        <v>0</v>
      </c>
      <c r="H140" s="10"/>
    </row>
    <row r="141" spans="2:8" ht="13" x14ac:dyDescent="0.15">
      <c r="B141" s="9"/>
      <c r="C141" s="10"/>
      <c r="D141" s="10"/>
      <c r="E141" s="11"/>
      <c r="F141" s="12"/>
      <c r="G141" s="8">
        <f t="shared" si="1"/>
        <v>0</v>
      </c>
      <c r="H141" s="10"/>
    </row>
    <row r="142" spans="2:8" ht="13" x14ac:dyDescent="0.15">
      <c r="B142" s="9"/>
      <c r="C142" s="10"/>
      <c r="D142" s="10"/>
      <c r="E142" s="11"/>
      <c r="F142" s="12"/>
      <c r="G142" s="8">
        <f t="shared" si="1"/>
        <v>0</v>
      </c>
      <c r="H142" s="10"/>
    </row>
    <row r="143" spans="2:8" ht="13" x14ac:dyDescent="0.15">
      <c r="B143" s="9"/>
      <c r="C143" s="10"/>
      <c r="D143" s="10"/>
      <c r="E143" s="11"/>
      <c r="F143" s="12"/>
      <c r="G143" s="8">
        <f t="shared" si="1"/>
        <v>0</v>
      </c>
      <c r="H143" s="10"/>
    </row>
    <row r="144" spans="2:8" ht="13" x14ac:dyDescent="0.15">
      <c r="B144" s="9"/>
      <c r="C144" s="10"/>
      <c r="D144" s="10"/>
      <c r="E144" s="11"/>
      <c r="F144" s="12"/>
      <c r="G144" s="8">
        <f t="shared" si="1"/>
        <v>0</v>
      </c>
      <c r="H144" s="10"/>
    </row>
    <row r="145" spans="2:8" ht="13" x14ac:dyDescent="0.15">
      <c r="B145" s="9"/>
      <c r="C145" s="10"/>
      <c r="D145" s="10"/>
      <c r="E145" s="11"/>
      <c r="F145" s="12"/>
      <c r="G145" s="8">
        <f t="shared" si="1"/>
        <v>0</v>
      </c>
      <c r="H145" s="10"/>
    </row>
    <row r="146" spans="2:8" ht="13" x14ac:dyDescent="0.15">
      <c r="B146" s="9"/>
      <c r="C146" s="10"/>
      <c r="D146" s="10"/>
      <c r="E146" s="11"/>
      <c r="F146" s="12"/>
      <c r="G146" s="8">
        <f t="shared" si="1"/>
        <v>0</v>
      </c>
      <c r="H146" s="10"/>
    </row>
    <row r="147" spans="2:8" ht="13" x14ac:dyDescent="0.15">
      <c r="B147" s="9"/>
      <c r="C147" s="10"/>
      <c r="D147" s="10"/>
      <c r="E147" s="11"/>
      <c r="F147" s="12"/>
      <c r="G147" s="8">
        <f t="shared" si="1"/>
        <v>0</v>
      </c>
      <c r="H147" s="10"/>
    </row>
    <row r="148" spans="2:8" ht="13" x14ac:dyDescent="0.15">
      <c r="B148" s="9"/>
      <c r="C148" s="10"/>
      <c r="D148" s="10"/>
      <c r="E148" s="11"/>
      <c r="F148" s="12"/>
      <c r="G148" s="8">
        <f t="shared" si="1"/>
        <v>0</v>
      </c>
      <c r="H148" s="10"/>
    </row>
    <row r="149" spans="2:8" ht="13" x14ac:dyDescent="0.15">
      <c r="B149" s="9"/>
      <c r="C149" s="10"/>
      <c r="D149" s="10"/>
      <c r="E149" s="11"/>
      <c r="F149" s="12"/>
      <c r="G149" s="8">
        <f t="shared" si="1"/>
        <v>0</v>
      </c>
      <c r="H149" s="10"/>
    </row>
    <row r="150" spans="2:8" ht="13" x14ac:dyDescent="0.15">
      <c r="B150" s="9"/>
      <c r="C150" s="10"/>
      <c r="D150" s="10"/>
      <c r="E150" s="11"/>
      <c r="F150" s="12"/>
      <c r="G150" s="8">
        <f t="shared" si="1"/>
        <v>0</v>
      </c>
      <c r="H150" s="10"/>
    </row>
    <row r="151" spans="2:8" ht="13" x14ac:dyDescent="0.15">
      <c r="B151" s="9"/>
      <c r="C151" s="10"/>
      <c r="D151" s="10"/>
      <c r="E151" s="11"/>
      <c r="F151" s="12"/>
      <c r="G151" s="8">
        <f t="shared" si="1"/>
        <v>0</v>
      </c>
      <c r="H151" s="10"/>
    </row>
    <row r="152" spans="2:8" ht="13" x14ac:dyDescent="0.15">
      <c r="B152" s="9"/>
      <c r="C152" s="10"/>
      <c r="D152" s="10"/>
      <c r="E152" s="11"/>
      <c r="F152" s="12"/>
      <c r="G152" s="8">
        <f t="shared" si="1"/>
        <v>0</v>
      </c>
      <c r="H152" s="10"/>
    </row>
    <row r="153" spans="2:8" ht="13" x14ac:dyDescent="0.15">
      <c r="B153" s="9"/>
      <c r="C153" s="10"/>
      <c r="D153" s="10"/>
      <c r="E153" s="11"/>
      <c r="F153" s="12"/>
      <c r="G153" s="8">
        <f t="shared" si="1"/>
        <v>0</v>
      </c>
      <c r="H153" s="10"/>
    </row>
    <row r="154" spans="2:8" ht="13" x14ac:dyDescent="0.15">
      <c r="B154" s="9"/>
      <c r="C154" s="10"/>
      <c r="D154" s="10"/>
      <c r="E154" s="11"/>
      <c r="F154" s="12"/>
      <c r="G154" s="8">
        <f t="shared" si="1"/>
        <v>0</v>
      </c>
      <c r="H154" s="10"/>
    </row>
    <row r="155" spans="2:8" ht="13" x14ac:dyDescent="0.15">
      <c r="B155" s="9"/>
      <c r="C155" s="10"/>
      <c r="D155" s="10"/>
      <c r="E155" s="11"/>
      <c r="F155" s="12"/>
      <c r="G155" s="8">
        <f t="shared" si="1"/>
        <v>0</v>
      </c>
      <c r="H155" s="10"/>
    </row>
    <row r="156" spans="2:8" ht="13" x14ac:dyDescent="0.15">
      <c r="B156" s="9"/>
      <c r="C156" s="10"/>
      <c r="D156" s="10"/>
      <c r="E156" s="11"/>
      <c r="F156" s="12"/>
      <c r="G156" s="8">
        <f t="shared" si="1"/>
        <v>0</v>
      </c>
      <c r="H156" s="10"/>
    </row>
    <row r="157" spans="2:8" ht="13" x14ac:dyDescent="0.15">
      <c r="B157" s="9"/>
      <c r="C157" s="10"/>
      <c r="D157" s="10"/>
      <c r="E157" s="11"/>
      <c r="F157" s="12"/>
      <c r="G157" s="8">
        <f t="shared" si="1"/>
        <v>0</v>
      </c>
      <c r="H157" s="10"/>
    </row>
    <row r="158" spans="2:8" ht="13" x14ac:dyDescent="0.15">
      <c r="B158" s="9"/>
      <c r="C158" s="10"/>
      <c r="D158" s="10"/>
      <c r="E158" s="11"/>
      <c r="F158" s="12"/>
      <c r="G158" s="8">
        <f t="shared" si="1"/>
        <v>0</v>
      </c>
      <c r="H158" s="10"/>
    </row>
    <row r="159" spans="2:8" ht="13" x14ac:dyDescent="0.15">
      <c r="B159" s="9"/>
      <c r="C159" s="10"/>
      <c r="D159" s="10"/>
      <c r="E159" s="11"/>
      <c r="F159" s="12"/>
      <c r="G159" s="8">
        <f t="shared" si="1"/>
        <v>0</v>
      </c>
      <c r="H159" s="10"/>
    </row>
    <row r="160" spans="2:8" ht="13" x14ac:dyDescent="0.15">
      <c r="B160" s="9"/>
      <c r="C160" s="10"/>
      <c r="D160" s="10"/>
      <c r="E160" s="11"/>
      <c r="F160" s="12"/>
      <c r="G160" s="8">
        <f t="shared" si="1"/>
        <v>0</v>
      </c>
      <c r="H160" s="10"/>
    </row>
    <row r="161" spans="2:8" ht="13" x14ac:dyDescent="0.15">
      <c r="B161" s="9"/>
      <c r="C161" s="10"/>
      <c r="D161" s="10"/>
      <c r="E161" s="11"/>
      <c r="F161" s="12"/>
      <c r="G161" s="8">
        <f t="shared" si="1"/>
        <v>0</v>
      </c>
      <c r="H161" s="10"/>
    </row>
    <row r="162" spans="2:8" ht="13" x14ac:dyDescent="0.15">
      <c r="B162" s="9"/>
      <c r="C162" s="10"/>
      <c r="D162" s="10"/>
      <c r="E162" s="11"/>
      <c r="F162" s="12"/>
      <c r="G162" s="8">
        <f t="shared" si="1"/>
        <v>0</v>
      </c>
      <c r="H162" s="10"/>
    </row>
    <row r="163" spans="2:8" ht="13" x14ac:dyDescent="0.15">
      <c r="B163" s="9"/>
      <c r="C163" s="10"/>
      <c r="D163" s="10"/>
      <c r="E163" s="11"/>
      <c r="F163" s="12"/>
      <c r="G163" s="8">
        <f t="shared" si="1"/>
        <v>0</v>
      </c>
      <c r="H163" s="10"/>
    </row>
    <row r="164" spans="2:8" ht="13" x14ac:dyDescent="0.15">
      <c r="B164" s="9"/>
      <c r="C164" s="10"/>
      <c r="D164" s="10"/>
      <c r="E164" s="11"/>
      <c r="F164" s="12"/>
      <c r="G164" s="8">
        <f t="shared" si="1"/>
        <v>0</v>
      </c>
      <c r="H164" s="10"/>
    </row>
    <row r="165" spans="2:8" ht="13" x14ac:dyDescent="0.15">
      <c r="B165" s="9"/>
      <c r="C165" s="10"/>
      <c r="D165" s="10"/>
      <c r="E165" s="11"/>
      <c r="F165" s="12"/>
      <c r="G165" s="8">
        <f t="shared" si="1"/>
        <v>0</v>
      </c>
      <c r="H165" s="10"/>
    </row>
    <row r="166" spans="2:8" ht="13" x14ac:dyDescent="0.15">
      <c r="B166" s="9"/>
      <c r="C166" s="10"/>
      <c r="D166" s="10"/>
      <c r="E166" s="11"/>
      <c r="F166" s="12"/>
      <c r="G166" s="8">
        <f t="shared" si="1"/>
        <v>0</v>
      </c>
      <c r="H166" s="10"/>
    </row>
    <row r="167" spans="2:8" ht="13" x14ac:dyDescent="0.15">
      <c r="B167" s="9"/>
      <c r="C167" s="10"/>
      <c r="D167" s="10"/>
      <c r="E167" s="11"/>
      <c r="F167" s="12"/>
      <c r="G167" s="8">
        <f t="shared" si="1"/>
        <v>0</v>
      </c>
      <c r="H167" s="10"/>
    </row>
    <row r="168" spans="2:8" ht="13" x14ac:dyDescent="0.15">
      <c r="B168" s="9"/>
      <c r="C168" s="10"/>
      <c r="D168" s="10"/>
      <c r="E168" s="11"/>
      <c r="F168" s="12"/>
      <c r="G168" s="8">
        <f t="shared" si="1"/>
        <v>0</v>
      </c>
      <c r="H168" s="10"/>
    </row>
    <row r="169" spans="2:8" ht="13" x14ac:dyDescent="0.15">
      <c r="B169" s="9"/>
      <c r="C169" s="10"/>
      <c r="D169" s="10"/>
      <c r="E169" s="11"/>
      <c r="F169" s="12"/>
      <c r="G169" s="8">
        <f t="shared" si="1"/>
        <v>0</v>
      </c>
      <c r="H169" s="10"/>
    </row>
    <row r="170" spans="2:8" ht="13" x14ac:dyDescent="0.15">
      <c r="B170" s="9"/>
      <c r="C170" s="10"/>
      <c r="D170" s="10"/>
      <c r="E170" s="11"/>
      <c r="F170" s="12"/>
      <c r="G170" s="8">
        <f t="shared" si="1"/>
        <v>0</v>
      </c>
      <c r="H170" s="10"/>
    </row>
    <row r="171" spans="2:8" ht="13" x14ac:dyDescent="0.15">
      <c r="B171" s="9"/>
      <c r="C171" s="10"/>
      <c r="D171" s="10"/>
      <c r="E171" s="11"/>
      <c r="F171" s="12"/>
      <c r="G171" s="8">
        <f t="shared" si="1"/>
        <v>0</v>
      </c>
      <c r="H171" s="10"/>
    </row>
    <row r="172" spans="2:8" ht="13" x14ac:dyDescent="0.15">
      <c r="B172" s="9"/>
      <c r="C172" s="10"/>
      <c r="D172" s="10"/>
      <c r="E172" s="11"/>
      <c r="F172" s="12"/>
      <c r="G172" s="8">
        <f t="shared" si="1"/>
        <v>0</v>
      </c>
      <c r="H172" s="10"/>
    </row>
    <row r="173" spans="2:8" ht="13" x14ac:dyDescent="0.15">
      <c r="B173" s="9"/>
      <c r="C173" s="10"/>
      <c r="D173" s="10"/>
      <c r="E173" s="11"/>
      <c r="F173" s="12"/>
      <c r="G173" s="8">
        <f t="shared" si="1"/>
        <v>0</v>
      </c>
      <c r="H173" s="10"/>
    </row>
    <row r="174" spans="2:8" ht="13" x14ac:dyDescent="0.15">
      <c r="B174" s="9"/>
      <c r="C174" s="10"/>
      <c r="D174" s="10"/>
      <c r="E174" s="11"/>
      <c r="F174" s="12"/>
      <c r="G174" s="8">
        <f t="shared" si="1"/>
        <v>0</v>
      </c>
      <c r="H174" s="10"/>
    </row>
    <row r="175" spans="2:8" ht="13" x14ac:dyDescent="0.15">
      <c r="B175" s="9"/>
      <c r="C175" s="10"/>
      <c r="D175" s="10"/>
      <c r="E175" s="11"/>
      <c r="F175" s="12"/>
      <c r="G175" s="8">
        <f t="shared" si="1"/>
        <v>0</v>
      </c>
      <c r="H175" s="10"/>
    </row>
    <row r="176" spans="2:8" ht="13" x14ac:dyDescent="0.15">
      <c r="B176" s="9"/>
      <c r="C176" s="10"/>
      <c r="D176" s="10"/>
      <c r="E176" s="11"/>
      <c r="F176" s="12"/>
      <c r="G176" s="8">
        <f t="shared" si="1"/>
        <v>0</v>
      </c>
      <c r="H176" s="10"/>
    </row>
    <row r="177" spans="2:8" ht="13" x14ac:dyDescent="0.15">
      <c r="B177" s="9"/>
      <c r="C177" s="10"/>
      <c r="D177" s="10"/>
      <c r="E177" s="11"/>
      <c r="F177" s="12"/>
      <c r="G177" s="8">
        <f t="shared" si="1"/>
        <v>0</v>
      </c>
      <c r="H177" s="10"/>
    </row>
    <row r="178" spans="2:8" ht="13" x14ac:dyDescent="0.15">
      <c r="B178" s="13"/>
      <c r="C178" s="14"/>
      <c r="D178" s="14"/>
      <c r="E178" s="15"/>
      <c r="F178" s="16"/>
      <c r="G178" s="17"/>
      <c r="H178" s="14"/>
    </row>
    <row r="179" spans="2:8" ht="35.25" customHeight="1" x14ac:dyDescent="0.15">
      <c r="B179" s="26" t="s">
        <v>42</v>
      </c>
      <c r="C179" s="27"/>
      <c r="D179" s="27"/>
      <c r="E179" s="27"/>
      <c r="F179" s="28"/>
      <c r="G179" s="29">
        <f>SUM(G4:G177)</f>
        <v>83459634</v>
      </c>
      <c r="H179" s="28"/>
    </row>
  </sheetData>
  <mergeCells count="2">
    <mergeCell ref="B179:F179"/>
    <mergeCell ref="G179:H1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Januari 2026</vt:lpstr>
      <vt:lpstr>Februari 2026</vt:lpstr>
      <vt:lpstr>Maret 2026</vt:lpstr>
      <vt:lpstr>April 2026</vt:lpstr>
      <vt:lpstr>May 2026</vt:lpstr>
      <vt:lpstr>June 2026</vt:lpstr>
      <vt:lpstr>July 2026</vt:lpstr>
      <vt:lpstr>August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 PRADIPA NATA</cp:lastModifiedBy>
  <dcterms:modified xsi:type="dcterms:W3CDTF">2026-08-26T08:02:22Z</dcterms:modified>
</cp:coreProperties>
</file>